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B:\vap\"/>
    </mc:Choice>
  </mc:AlternateContent>
  <xr:revisionPtr revIDLastSave="0" documentId="13_ncr:1_{91340C16-9063-4569-AE1F-D53D12ECCC98}" xr6:coauthVersionLast="37" xr6:coauthVersionMax="37" xr10:uidLastSave="{00000000-0000-0000-0000-000000000000}"/>
  <bookViews>
    <workbookView xWindow="-9945" yWindow="2070" windowWidth="20460" windowHeight="10920" activeTab="1" xr2:uid="{00000000-000D-0000-FFFF-FFFF00000000}"/>
  </bookViews>
  <sheets>
    <sheet name="База данных" sheetId="1" r:id="rId1"/>
    <sheet name="30-12-1899" sheetId="15" r:id="rId2"/>
    <sheet name="Управление" sheetId="3" r:id="rId3"/>
    <sheet name="Лист3" sheetId="6" r:id="rId4"/>
    <sheet name="Скрыто" sheetId="7" r:id="rId5"/>
  </sheets>
  <definedNames>
    <definedName name="_xlnm._FilterDatabase" localSheetId="0" hidden="1">'База данных'!$B$1:$F$1036</definedName>
    <definedName name="_xlnm.Print_Titles" localSheetId="0">'База данных'!$1:$1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7" l="1"/>
  <c r="H2" i="7"/>
  <c r="G2" i="7"/>
  <c r="F2" i="7"/>
  <c r="E2" i="7"/>
  <c r="M8" i="3" l="1"/>
  <c r="M7" i="3"/>
  <c r="M6" i="3"/>
  <c r="M5" i="3"/>
  <c r="M4" i="3"/>
  <c r="M3" i="3"/>
  <c r="I193" i="1" l="1"/>
  <c r="I1034" i="1"/>
  <c r="K1034" i="1" s="1"/>
  <c r="I1022" i="1"/>
  <c r="K1022" i="1" s="1"/>
  <c r="I1010" i="1"/>
  <c r="K1010" i="1" s="1"/>
  <c r="I998" i="1"/>
  <c r="I986" i="1"/>
  <c r="K986" i="1" s="1"/>
  <c r="I974" i="1"/>
  <c r="K974" i="1" s="1"/>
  <c r="I966" i="1"/>
  <c r="K966" i="1" s="1"/>
  <c r="I954" i="1"/>
  <c r="K954" i="1" s="1"/>
  <c r="I942" i="1"/>
  <c r="K942" i="1" s="1"/>
  <c r="I934" i="1"/>
  <c r="K934" i="1" s="1"/>
  <c r="I922" i="1"/>
  <c r="K922" i="1" s="1"/>
  <c r="I910" i="1"/>
  <c r="K910" i="1" s="1"/>
  <c r="I898" i="1"/>
  <c r="K898" i="1" s="1"/>
  <c r="I882" i="1"/>
  <c r="K882" i="1" s="1"/>
  <c r="I874" i="1"/>
  <c r="I862" i="1"/>
  <c r="K862" i="1" s="1"/>
  <c r="I850" i="1"/>
  <c r="I825" i="1"/>
  <c r="K825" i="1" s="1"/>
  <c r="I793" i="1"/>
  <c r="K793" i="1" s="1"/>
  <c r="I745" i="1"/>
  <c r="K745" i="1" s="1"/>
  <c r="I697" i="1"/>
  <c r="K697" i="1" s="1"/>
  <c r="I665" i="1"/>
  <c r="K665" i="1" s="1"/>
  <c r="I633" i="1"/>
  <c r="K633" i="1" s="1"/>
  <c r="I601" i="1"/>
  <c r="K601" i="1" s="1"/>
  <c r="I511" i="1"/>
  <c r="I383" i="1"/>
  <c r="I1033" i="1"/>
  <c r="K1033" i="1" s="1"/>
  <c r="I1029" i="1"/>
  <c r="K1029" i="1" s="1"/>
  <c r="I1025" i="1"/>
  <c r="K1025" i="1" s="1"/>
  <c r="I1021" i="1"/>
  <c r="K1021" i="1" s="1"/>
  <c r="I1017" i="1"/>
  <c r="K1017" i="1" s="1"/>
  <c r="I1013" i="1"/>
  <c r="K1013" i="1" s="1"/>
  <c r="I1009" i="1"/>
  <c r="K1009" i="1" s="1"/>
  <c r="I1005" i="1"/>
  <c r="K1005" i="1" s="1"/>
  <c r="I1001" i="1"/>
  <c r="K1001" i="1" s="1"/>
  <c r="I997" i="1"/>
  <c r="I993" i="1"/>
  <c r="K993" i="1" s="1"/>
  <c r="I989" i="1"/>
  <c r="K989" i="1" s="1"/>
  <c r="I985" i="1"/>
  <c r="K985" i="1" s="1"/>
  <c r="I981" i="1"/>
  <c r="K981" i="1" s="1"/>
  <c r="I977" i="1"/>
  <c r="K977" i="1" s="1"/>
  <c r="I973" i="1"/>
  <c r="K973" i="1" s="1"/>
  <c r="I969" i="1"/>
  <c r="I965" i="1"/>
  <c r="K965" i="1" s="1"/>
  <c r="I961" i="1"/>
  <c r="K961" i="1" s="1"/>
  <c r="I957" i="1"/>
  <c r="K957" i="1" s="1"/>
  <c r="I953" i="1"/>
  <c r="K953" i="1" s="1"/>
  <c r="I949" i="1"/>
  <c r="K949" i="1" s="1"/>
  <c r="I945" i="1"/>
  <c r="K945" i="1" s="1"/>
  <c r="I941" i="1"/>
  <c r="K941" i="1" s="1"/>
  <c r="I937" i="1"/>
  <c r="K937" i="1" s="1"/>
  <c r="I933" i="1"/>
  <c r="I929" i="1"/>
  <c r="K929" i="1" s="1"/>
  <c r="I925" i="1"/>
  <c r="K925" i="1" s="1"/>
  <c r="I921" i="1"/>
  <c r="K921" i="1" s="1"/>
  <c r="I917" i="1"/>
  <c r="I913" i="1"/>
  <c r="K913" i="1" s="1"/>
  <c r="I909" i="1"/>
  <c r="K909" i="1" s="1"/>
  <c r="I905" i="1"/>
  <c r="K905" i="1" s="1"/>
  <c r="I901" i="1"/>
  <c r="I897" i="1"/>
  <c r="K897" i="1" s="1"/>
  <c r="I893" i="1"/>
  <c r="K893" i="1" s="1"/>
  <c r="I889" i="1"/>
  <c r="K889" i="1" s="1"/>
  <c r="I885" i="1"/>
  <c r="I881" i="1"/>
  <c r="K881" i="1" s="1"/>
  <c r="I877" i="1"/>
  <c r="K877" i="1" s="1"/>
  <c r="I873" i="1"/>
  <c r="K873" i="1" s="1"/>
  <c r="I869" i="1"/>
  <c r="I865" i="1"/>
  <c r="K865" i="1" s="1"/>
  <c r="I861" i="1"/>
  <c r="K861" i="1" s="1"/>
  <c r="I857" i="1"/>
  <c r="K857" i="1" s="1"/>
  <c r="I853" i="1"/>
  <c r="K853" i="1" s="1"/>
  <c r="I849" i="1"/>
  <c r="K849" i="1" s="1"/>
  <c r="I837" i="1"/>
  <c r="K837" i="1" s="1"/>
  <c r="I821" i="1"/>
  <c r="K821" i="1" s="1"/>
  <c r="I805" i="1"/>
  <c r="I789" i="1"/>
  <c r="K789" i="1" s="1"/>
  <c r="I773" i="1"/>
  <c r="K773" i="1" s="1"/>
  <c r="I757" i="1"/>
  <c r="K757" i="1" s="1"/>
  <c r="I741" i="1"/>
  <c r="I725" i="1"/>
  <c r="K725" i="1" s="1"/>
  <c r="I709" i="1"/>
  <c r="K709" i="1" s="1"/>
  <c r="I693" i="1"/>
  <c r="I677" i="1"/>
  <c r="I661" i="1"/>
  <c r="K661" i="1" s="1"/>
  <c r="I645" i="1"/>
  <c r="K645" i="1" s="1"/>
  <c r="I629" i="1"/>
  <c r="K629" i="1" s="1"/>
  <c r="I613" i="1"/>
  <c r="I597" i="1"/>
  <c r="K597" i="1" s="1"/>
  <c r="I559" i="1"/>
  <c r="I495" i="1"/>
  <c r="I431" i="1"/>
  <c r="K431" i="1" s="1"/>
  <c r="I367" i="1"/>
  <c r="I2" i="1"/>
  <c r="I6" i="1"/>
  <c r="I10" i="1"/>
  <c r="K10" i="1" s="1"/>
  <c r="I14" i="1"/>
  <c r="I18" i="1"/>
  <c r="I22" i="1"/>
  <c r="K22" i="1" s="1"/>
  <c r="I26" i="1"/>
  <c r="K26" i="1" s="1"/>
  <c r="I30" i="1"/>
  <c r="I34" i="1"/>
  <c r="I38" i="1"/>
  <c r="K38" i="1" s="1"/>
  <c r="I42" i="1"/>
  <c r="K42" i="1" s="1"/>
  <c r="I46" i="1"/>
  <c r="I50" i="1"/>
  <c r="I54" i="1"/>
  <c r="K54" i="1" s="1"/>
  <c r="I58" i="1"/>
  <c r="K58" i="1" s="1"/>
  <c r="I62" i="1"/>
  <c r="I66" i="1"/>
  <c r="I70" i="1"/>
  <c r="K70" i="1" s="1"/>
  <c r="I74" i="1"/>
  <c r="K74" i="1" s="1"/>
  <c r="I78" i="1"/>
  <c r="I82" i="1"/>
  <c r="I86" i="1"/>
  <c r="K86" i="1" s="1"/>
  <c r="I90" i="1"/>
  <c r="K90" i="1" s="1"/>
  <c r="I94" i="1"/>
  <c r="I98" i="1"/>
  <c r="I102" i="1"/>
  <c r="K102" i="1" s="1"/>
  <c r="I106" i="1"/>
  <c r="K106" i="1" s="1"/>
  <c r="I110" i="1"/>
  <c r="I114" i="1"/>
  <c r="I118" i="1"/>
  <c r="K118" i="1" s="1"/>
  <c r="I122" i="1"/>
  <c r="K122" i="1" s="1"/>
  <c r="I126" i="1"/>
  <c r="I130" i="1"/>
  <c r="I134" i="1"/>
  <c r="I138" i="1"/>
  <c r="K138" i="1" s="1"/>
  <c r="I142" i="1"/>
  <c r="I146" i="1"/>
  <c r="I150" i="1"/>
  <c r="K150" i="1" s="1"/>
  <c r="I154" i="1"/>
  <c r="K154" i="1" s="1"/>
  <c r="I158" i="1"/>
  <c r="I162" i="1"/>
  <c r="I166" i="1"/>
  <c r="I170" i="1"/>
  <c r="K170" i="1" s="1"/>
  <c r="I174" i="1"/>
  <c r="I178" i="1"/>
  <c r="I182" i="1"/>
  <c r="I186" i="1"/>
  <c r="K186" i="1" s="1"/>
  <c r="I190" i="1"/>
  <c r="I194" i="1"/>
  <c r="I198" i="1"/>
  <c r="I202" i="1"/>
  <c r="K202" i="1" s="1"/>
  <c r="I206" i="1"/>
  <c r="I210" i="1"/>
  <c r="I214" i="1"/>
  <c r="K214" i="1" s="1"/>
  <c r="I218" i="1"/>
  <c r="K218" i="1" s="1"/>
  <c r="I222" i="1"/>
  <c r="I226" i="1"/>
  <c r="I230" i="1"/>
  <c r="K230" i="1" s="1"/>
  <c r="I234" i="1"/>
  <c r="K234" i="1" s="1"/>
  <c r="I238" i="1"/>
  <c r="I242" i="1"/>
  <c r="I246" i="1"/>
  <c r="K246" i="1" s="1"/>
  <c r="I250" i="1"/>
  <c r="K250" i="1" s="1"/>
  <c r="I254" i="1"/>
  <c r="I258" i="1"/>
  <c r="I262" i="1"/>
  <c r="K262" i="1" s="1"/>
  <c r="I266" i="1"/>
  <c r="I270" i="1"/>
  <c r="I274" i="1"/>
  <c r="I278" i="1"/>
  <c r="I282" i="1"/>
  <c r="I286" i="1"/>
  <c r="I290" i="1"/>
  <c r="I294" i="1"/>
  <c r="K294" i="1" s="1"/>
  <c r="I298" i="1"/>
  <c r="I302" i="1"/>
  <c r="I306" i="1"/>
  <c r="I310" i="1"/>
  <c r="I314" i="1"/>
  <c r="I318" i="1"/>
  <c r="I322" i="1"/>
  <c r="I326" i="1"/>
  <c r="I330" i="1"/>
  <c r="I334" i="1"/>
  <c r="I338" i="1"/>
  <c r="I3" i="1"/>
  <c r="I7" i="1"/>
  <c r="I11" i="1"/>
  <c r="I15" i="1"/>
  <c r="I19" i="1"/>
  <c r="K19" i="1" s="1"/>
  <c r="I23" i="1"/>
  <c r="I27" i="1"/>
  <c r="I31" i="1"/>
  <c r="I35" i="1"/>
  <c r="I39" i="1"/>
  <c r="I43" i="1"/>
  <c r="I47" i="1"/>
  <c r="I51" i="1"/>
  <c r="I55" i="1"/>
  <c r="I59" i="1"/>
  <c r="I63" i="1"/>
  <c r="I67" i="1"/>
  <c r="I71" i="1"/>
  <c r="I75" i="1"/>
  <c r="I79" i="1"/>
  <c r="I83" i="1"/>
  <c r="I87" i="1"/>
  <c r="I91" i="1"/>
  <c r="I95" i="1"/>
  <c r="I99" i="1"/>
  <c r="K99" i="1" s="1"/>
  <c r="I103" i="1"/>
  <c r="I107" i="1"/>
  <c r="I111" i="1"/>
  <c r="I115" i="1"/>
  <c r="K115" i="1" s="1"/>
  <c r="I119" i="1"/>
  <c r="I123" i="1"/>
  <c r="I127" i="1"/>
  <c r="I131" i="1"/>
  <c r="K131" i="1" s="1"/>
  <c r="I135" i="1"/>
  <c r="I139" i="1"/>
  <c r="I143" i="1"/>
  <c r="K143" i="1" s="1"/>
  <c r="I147" i="1"/>
  <c r="I151" i="1"/>
  <c r="I155" i="1"/>
  <c r="I159" i="1"/>
  <c r="I163" i="1"/>
  <c r="K163" i="1" s="1"/>
  <c r="I167" i="1"/>
  <c r="I171" i="1"/>
  <c r="I175" i="1"/>
  <c r="K175" i="1" s="1"/>
  <c r="I179" i="1"/>
  <c r="K179" i="1" s="1"/>
  <c r="I183" i="1"/>
  <c r="K183" i="1" s="1"/>
  <c r="I187" i="1"/>
  <c r="I191" i="1"/>
  <c r="I195" i="1"/>
  <c r="K195" i="1" s="1"/>
  <c r="I199" i="1"/>
  <c r="I203" i="1"/>
  <c r="I207" i="1"/>
  <c r="I211" i="1"/>
  <c r="I215" i="1"/>
  <c r="K215" i="1" s="1"/>
  <c r="I219" i="1"/>
  <c r="I223" i="1"/>
  <c r="K223" i="1" s="1"/>
  <c r="I227" i="1"/>
  <c r="K227" i="1" s="1"/>
  <c r="I231" i="1"/>
  <c r="I235" i="1"/>
  <c r="I239" i="1"/>
  <c r="I243" i="1"/>
  <c r="K243" i="1" s="1"/>
  <c r="I247" i="1"/>
  <c r="K247" i="1" s="1"/>
  <c r="I251" i="1"/>
  <c r="I255" i="1"/>
  <c r="I259" i="1"/>
  <c r="K259" i="1" s="1"/>
  <c r="I263" i="1"/>
  <c r="I267" i="1"/>
  <c r="I271" i="1"/>
  <c r="I275" i="1"/>
  <c r="K275" i="1" s="1"/>
  <c r="I279" i="1"/>
  <c r="K279" i="1" s="1"/>
  <c r="I283" i="1"/>
  <c r="I287" i="1"/>
  <c r="K287" i="1" s="1"/>
  <c r="I291" i="1"/>
  <c r="I295" i="1"/>
  <c r="I299" i="1"/>
  <c r="I303" i="1"/>
  <c r="I307" i="1"/>
  <c r="I311" i="1"/>
  <c r="K311" i="1" s="1"/>
  <c r="I315" i="1"/>
  <c r="I319" i="1"/>
  <c r="I323" i="1"/>
  <c r="I327" i="1"/>
  <c r="I331" i="1"/>
  <c r="I335" i="1"/>
  <c r="K335" i="1" s="1"/>
  <c r="I4" i="1"/>
  <c r="K4" i="1" s="1"/>
  <c r="I8" i="1"/>
  <c r="I12" i="1"/>
  <c r="I16" i="1"/>
  <c r="I20" i="1"/>
  <c r="J20" i="1" s="1"/>
  <c r="I24" i="1"/>
  <c r="I28" i="1"/>
  <c r="I32" i="1"/>
  <c r="K32" i="1" s="1"/>
  <c r="I36" i="1"/>
  <c r="J36" i="1" s="1"/>
  <c r="I40" i="1"/>
  <c r="K40" i="1" s="1"/>
  <c r="I44" i="1"/>
  <c r="I48" i="1"/>
  <c r="I52" i="1"/>
  <c r="I56" i="1"/>
  <c r="I60" i="1"/>
  <c r="I64" i="1"/>
  <c r="K64" i="1" s="1"/>
  <c r="I68" i="1"/>
  <c r="K68" i="1" s="1"/>
  <c r="I72" i="1"/>
  <c r="I76" i="1"/>
  <c r="I80" i="1"/>
  <c r="I84" i="1"/>
  <c r="I88" i="1"/>
  <c r="I92" i="1"/>
  <c r="I96" i="1"/>
  <c r="K96" i="1" s="1"/>
  <c r="I100" i="1"/>
  <c r="K100" i="1" s="1"/>
  <c r="I104" i="1"/>
  <c r="K104" i="1" s="1"/>
  <c r="I108" i="1"/>
  <c r="I112" i="1"/>
  <c r="I116" i="1"/>
  <c r="K116" i="1" s="1"/>
  <c r="I120" i="1"/>
  <c r="I124" i="1"/>
  <c r="I128" i="1"/>
  <c r="K128" i="1" s="1"/>
  <c r="I132" i="1"/>
  <c r="I136" i="1"/>
  <c r="I140" i="1"/>
  <c r="I144" i="1"/>
  <c r="I148" i="1"/>
  <c r="I152" i="1"/>
  <c r="I156" i="1"/>
  <c r="I160" i="1"/>
  <c r="K160" i="1" s="1"/>
  <c r="I164" i="1"/>
  <c r="K164" i="1" s="1"/>
  <c r="I168" i="1"/>
  <c r="K168" i="1" s="1"/>
  <c r="I172" i="1"/>
  <c r="I176" i="1"/>
  <c r="I180" i="1"/>
  <c r="K180" i="1" s="1"/>
  <c r="I184" i="1"/>
  <c r="I188" i="1"/>
  <c r="I192" i="1"/>
  <c r="K192" i="1" s="1"/>
  <c r="I196" i="1"/>
  <c r="K196" i="1" s="1"/>
  <c r="I200" i="1"/>
  <c r="I204" i="1"/>
  <c r="I208" i="1"/>
  <c r="I212" i="1"/>
  <c r="I216" i="1"/>
  <c r="I220" i="1"/>
  <c r="I224" i="1"/>
  <c r="K224" i="1" s="1"/>
  <c r="I228" i="1"/>
  <c r="K228" i="1" s="1"/>
  <c r="I232" i="1"/>
  <c r="K232" i="1" s="1"/>
  <c r="I236" i="1"/>
  <c r="I240" i="1"/>
  <c r="I244" i="1"/>
  <c r="K244" i="1" s="1"/>
  <c r="I248" i="1"/>
  <c r="I252" i="1"/>
  <c r="I256" i="1"/>
  <c r="K256" i="1" s="1"/>
  <c r="I260" i="1"/>
  <c r="K260" i="1" s="1"/>
  <c r="I264" i="1"/>
  <c r="I268" i="1"/>
  <c r="I272" i="1"/>
  <c r="I276" i="1"/>
  <c r="K276" i="1" s="1"/>
  <c r="I280" i="1"/>
  <c r="I284" i="1"/>
  <c r="I288" i="1"/>
  <c r="K288" i="1" s="1"/>
  <c r="I292" i="1"/>
  <c r="K292" i="1" s="1"/>
  <c r="I296" i="1"/>
  <c r="K296" i="1" s="1"/>
  <c r="I300" i="1"/>
  <c r="I304" i="1"/>
  <c r="I308" i="1"/>
  <c r="K308" i="1" s="1"/>
  <c r="I312" i="1"/>
  <c r="I316" i="1"/>
  <c r="I320" i="1"/>
  <c r="J320" i="1" s="1"/>
  <c r="I324" i="1"/>
  <c r="I328" i="1"/>
  <c r="I332" i="1"/>
  <c r="I336" i="1"/>
  <c r="I340" i="1"/>
  <c r="I5" i="1"/>
  <c r="I21" i="1"/>
  <c r="I37" i="1"/>
  <c r="I53" i="1"/>
  <c r="K53" i="1" s="1"/>
  <c r="I69" i="1"/>
  <c r="I85" i="1"/>
  <c r="I101" i="1"/>
  <c r="I117" i="1"/>
  <c r="K117" i="1" s="1"/>
  <c r="I133" i="1"/>
  <c r="I149" i="1"/>
  <c r="I165" i="1"/>
  <c r="I181" i="1"/>
  <c r="K181" i="1" s="1"/>
  <c r="I197" i="1"/>
  <c r="I213" i="1"/>
  <c r="K213" i="1" s="1"/>
  <c r="I229" i="1"/>
  <c r="I245" i="1"/>
  <c r="I261" i="1"/>
  <c r="I277" i="1"/>
  <c r="I293" i="1"/>
  <c r="K293" i="1" s="1"/>
  <c r="I309" i="1"/>
  <c r="K309" i="1" s="1"/>
  <c r="I325" i="1"/>
  <c r="K325" i="1" s="1"/>
  <c r="I339" i="1"/>
  <c r="I344" i="1"/>
  <c r="K344" i="1" s="1"/>
  <c r="I348" i="1"/>
  <c r="I352" i="1"/>
  <c r="I356" i="1"/>
  <c r="I360" i="1"/>
  <c r="I364" i="1"/>
  <c r="K364" i="1" s="1"/>
  <c r="I368" i="1"/>
  <c r="K368" i="1" s="1"/>
  <c r="I372" i="1"/>
  <c r="I376" i="1"/>
  <c r="K376" i="1" s="1"/>
  <c r="I380" i="1"/>
  <c r="K380" i="1" s="1"/>
  <c r="I384" i="1"/>
  <c r="I388" i="1"/>
  <c r="I392" i="1"/>
  <c r="I396" i="1"/>
  <c r="K396" i="1" s="1"/>
  <c r="I400" i="1"/>
  <c r="I404" i="1"/>
  <c r="I408" i="1"/>
  <c r="K408" i="1" s="1"/>
  <c r="I412" i="1"/>
  <c r="K412" i="1" s="1"/>
  <c r="I416" i="1"/>
  <c r="I420" i="1"/>
  <c r="I424" i="1"/>
  <c r="I428" i="1"/>
  <c r="K428" i="1" s="1"/>
  <c r="I432" i="1"/>
  <c r="I436" i="1"/>
  <c r="I440" i="1"/>
  <c r="K440" i="1" s="1"/>
  <c r="I444" i="1"/>
  <c r="K444" i="1" s="1"/>
  <c r="I448" i="1"/>
  <c r="I452" i="1"/>
  <c r="K452" i="1" s="1"/>
  <c r="I456" i="1"/>
  <c r="I460" i="1"/>
  <c r="K460" i="1" s="1"/>
  <c r="I464" i="1"/>
  <c r="I468" i="1"/>
  <c r="K468" i="1" s="1"/>
  <c r="I472" i="1"/>
  <c r="K472" i="1" s="1"/>
  <c r="I476" i="1"/>
  <c r="I480" i="1"/>
  <c r="I484" i="1"/>
  <c r="K484" i="1" s="1"/>
  <c r="I488" i="1"/>
  <c r="K488" i="1" s="1"/>
  <c r="I492" i="1"/>
  <c r="K492" i="1" s="1"/>
  <c r="I496" i="1"/>
  <c r="I500" i="1"/>
  <c r="K500" i="1" s="1"/>
  <c r="I504" i="1"/>
  <c r="I508" i="1"/>
  <c r="K508" i="1" s="1"/>
  <c r="I512" i="1"/>
  <c r="I516" i="1"/>
  <c r="K516" i="1" s="1"/>
  <c r="I520" i="1"/>
  <c r="I524" i="1"/>
  <c r="I528" i="1"/>
  <c r="I532" i="1"/>
  <c r="K532" i="1" s="1"/>
  <c r="I536" i="1"/>
  <c r="K536" i="1" s="1"/>
  <c r="I540" i="1"/>
  <c r="K540" i="1" s="1"/>
  <c r="I544" i="1"/>
  <c r="I548" i="1"/>
  <c r="K548" i="1" s="1"/>
  <c r="I552" i="1"/>
  <c r="K552" i="1" s="1"/>
  <c r="I556" i="1"/>
  <c r="K556" i="1" s="1"/>
  <c r="I560" i="1"/>
  <c r="I564" i="1"/>
  <c r="K564" i="1" s="1"/>
  <c r="I568" i="1"/>
  <c r="I572" i="1"/>
  <c r="K572" i="1" s="1"/>
  <c r="I9" i="1"/>
  <c r="I25" i="1"/>
  <c r="K25" i="1" s="1"/>
  <c r="I41" i="1"/>
  <c r="I57" i="1"/>
  <c r="K57" i="1" s="1"/>
  <c r="I73" i="1"/>
  <c r="K73" i="1" s="1"/>
  <c r="I89" i="1"/>
  <c r="I105" i="1"/>
  <c r="I121" i="1"/>
  <c r="K121" i="1" s="1"/>
  <c r="I137" i="1"/>
  <c r="I153" i="1"/>
  <c r="I169" i="1"/>
  <c r="I185" i="1"/>
  <c r="I201" i="1"/>
  <c r="I217" i="1"/>
  <c r="K217" i="1" s="1"/>
  <c r="I233" i="1"/>
  <c r="K233" i="1" s="1"/>
  <c r="I249" i="1"/>
  <c r="K249" i="1" s="1"/>
  <c r="I265" i="1"/>
  <c r="K265" i="1" s="1"/>
  <c r="I281" i="1"/>
  <c r="I297" i="1"/>
  <c r="K297" i="1" s="1"/>
  <c r="I313" i="1"/>
  <c r="I329" i="1"/>
  <c r="I341" i="1"/>
  <c r="I345" i="1"/>
  <c r="K345" i="1" s="1"/>
  <c r="I349" i="1"/>
  <c r="K349" i="1" s="1"/>
  <c r="I353" i="1"/>
  <c r="K353" i="1" s="1"/>
  <c r="I357" i="1"/>
  <c r="K357" i="1" s="1"/>
  <c r="I361" i="1"/>
  <c r="I365" i="1"/>
  <c r="I369" i="1"/>
  <c r="K369" i="1" s="1"/>
  <c r="I373" i="1"/>
  <c r="K373" i="1" s="1"/>
  <c r="I377" i="1"/>
  <c r="K377" i="1" s="1"/>
  <c r="I381" i="1"/>
  <c r="I385" i="1"/>
  <c r="I389" i="1"/>
  <c r="K389" i="1" s="1"/>
  <c r="I393" i="1"/>
  <c r="K393" i="1" s="1"/>
  <c r="I397" i="1"/>
  <c r="K397" i="1" s="1"/>
  <c r="I401" i="1"/>
  <c r="I405" i="1"/>
  <c r="K405" i="1" s="1"/>
  <c r="I409" i="1"/>
  <c r="K409" i="1" s="1"/>
  <c r="I413" i="1"/>
  <c r="K413" i="1" s="1"/>
  <c r="I417" i="1"/>
  <c r="I421" i="1"/>
  <c r="K421" i="1" s="1"/>
  <c r="I425" i="1"/>
  <c r="K425" i="1" s="1"/>
  <c r="I429" i="1"/>
  <c r="K429" i="1" s="1"/>
  <c r="I433" i="1"/>
  <c r="I437" i="1"/>
  <c r="K437" i="1" s="1"/>
  <c r="I441" i="1"/>
  <c r="K441" i="1" s="1"/>
  <c r="I445" i="1"/>
  <c r="K445" i="1" s="1"/>
  <c r="I449" i="1"/>
  <c r="K449" i="1" s="1"/>
  <c r="I453" i="1"/>
  <c r="K453" i="1" s="1"/>
  <c r="I457" i="1"/>
  <c r="K457" i="1" s="1"/>
  <c r="I461" i="1"/>
  <c r="I465" i="1"/>
  <c r="I469" i="1"/>
  <c r="K469" i="1" s="1"/>
  <c r="I473" i="1"/>
  <c r="K473" i="1" s="1"/>
  <c r="I477" i="1"/>
  <c r="K477" i="1" s="1"/>
  <c r="I481" i="1"/>
  <c r="I485" i="1"/>
  <c r="K485" i="1" s="1"/>
  <c r="I489" i="1"/>
  <c r="K489" i="1" s="1"/>
  <c r="I493" i="1"/>
  <c r="K493" i="1" s="1"/>
  <c r="I497" i="1"/>
  <c r="I501" i="1"/>
  <c r="K501" i="1" s="1"/>
  <c r="I505" i="1"/>
  <c r="K505" i="1" s="1"/>
  <c r="I509" i="1"/>
  <c r="K509" i="1" s="1"/>
  <c r="I513" i="1"/>
  <c r="I517" i="1"/>
  <c r="K517" i="1" s="1"/>
  <c r="I521" i="1"/>
  <c r="K521" i="1" s="1"/>
  <c r="I525" i="1"/>
  <c r="I529" i="1"/>
  <c r="I533" i="1"/>
  <c r="K533" i="1" s="1"/>
  <c r="I537" i="1"/>
  <c r="K537" i="1" s="1"/>
  <c r="I541" i="1"/>
  <c r="K541" i="1" s="1"/>
  <c r="I545" i="1"/>
  <c r="K545" i="1" s="1"/>
  <c r="I549" i="1"/>
  <c r="K549" i="1" s="1"/>
  <c r="I553" i="1"/>
  <c r="K553" i="1" s="1"/>
  <c r="I557" i="1"/>
  <c r="K557" i="1" s="1"/>
  <c r="I561" i="1"/>
  <c r="I565" i="1"/>
  <c r="K565" i="1" s="1"/>
  <c r="I569" i="1"/>
  <c r="K569" i="1" s="1"/>
  <c r="I573" i="1"/>
  <c r="K573" i="1" s="1"/>
  <c r="I577" i="1"/>
  <c r="K577" i="1" s="1"/>
  <c r="I581" i="1"/>
  <c r="K581" i="1" s="1"/>
  <c r="I585" i="1"/>
  <c r="K585" i="1" s="1"/>
  <c r="I589" i="1"/>
  <c r="K589" i="1" s="1"/>
  <c r="I593" i="1"/>
  <c r="I13" i="1"/>
  <c r="K13" i="1" s="1"/>
  <c r="I29" i="1"/>
  <c r="K29" i="1" s="1"/>
  <c r="I45" i="1"/>
  <c r="K45" i="1" s="1"/>
  <c r="I61" i="1"/>
  <c r="K61" i="1" s="1"/>
  <c r="I77" i="1"/>
  <c r="K77" i="1" s="1"/>
  <c r="I93" i="1"/>
  <c r="K93" i="1" s="1"/>
  <c r="I109" i="1"/>
  <c r="I125" i="1"/>
  <c r="I141" i="1"/>
  <c r="K141" i="1" s="1"/>
  <c r="I157" i="1"/>
  <c r="K157" i="1" s="1"/>
  <c r="I173" i="1"/>
  <c r="K173" i="1" s="1"/>
  <c r="I189" i="1"/>
  <c r="I205" i="1"/>
  <c r="K205" i="1" s="1"/>
  <c r="I221" i="1"/>
  <c r="K221" i="1" s="1"/>
  <c r="I237" i="1"/>
  <c r="K237" i="1" s="1"/>
  <c r="I253" i="1"/>
  <c r="I269" i="1"/>
  <c r="K269" i="1" s="1"/>
  <c r="I285" i="1"/>
  <c r="K285" i="1" s="1"/>
  <c r="I301" i="1"/>
  <c r="K301" i="1" s="1"/>
  <c r="I317" i="1"/>
  <c r="I333" i="1"/>
  <c r="K333" i="1" s="1"/>
  <c r="I342" i="1"/>
  <c r="I346" i="1"/>
  <c r="I350" i="1"/>
  <c r="I354" i="1"/>
  <c r="I358" i="1"/>
  <c r="K358" i="1" s="1"/>
  <c r="I362" i="1"/>
  <c r="K362" i="1" s="1"/>
  <c r="I366" i="1"/>
  <c r="I370" i="1"/>
  <c r="I374" i="1"/>
  <c r="K374" i="1" s="1"/>
  <c r="I378" i="1"/>
  <c r="K378" i="1" s="1"/>
  <c r="I382" i="1"/>
  <c r="I386" i="1"/>
  <c r="I390" i="1"/>
  <c r="I394" i="1"/>
  <c r="K394" i="1" s="1"/>
  <c r="I398" i="1"/>
  <c r="I402" i="1"/>
  <c r="K402" i="1" s="1"/>
  <c r="I406" i="1"/>
  <c r="K406" i="1" s="1"/>
  <c r="I410" i="1"/>
  <c r="K410" i="1" s="1"/>
  <c r="I414" i="1"/>
  <c r="I418" i="1"/>
  <c r="K418" i="1" s="1"/>
  <c r="I422" i="1"/>
  <c r="K422" i="1" s="1"/>
  <c r="I426" i="1"/>
  <c r="I430" i="1"/>
  <c r="I434" i="1"/>
  <c r="I438" i="1"/>
  <c r="I442" i="1"/>
  <c r="K442" i="1" s="1"/>
  <c r="I446" i="1"/>
  <c r="I450" i="1"/>
  <c r="K450" i="1" s="1"/>
  <c r="I454" i="1"/>
  <c r="K454" i="1" s="1"/>
  <c r="I458" i="1"/>
  <c r="K458" i="1" s="1"/>
  <c r="I462" i="1"/>
  <c r="I466" i="1"/>
  <c r="I470" i="1"/>
  <c r="I474" i="1"/>
  <c r="I478" i="1"/>
  <c r="I482" i="1"/>
  <c r="I486" i="1"/>
  <c r="K486" i="1" s="1"/>
  <c r="I490" i="1"/>
  <c r="K490" i="1" s="1"/>
  <c r="I494" i="1"/>
  <c r="I498" i="1"/>
  <c r="K498" i="1" s="1"/>
  <c r="I502" i="1"/>
  <c r="I506" i="1"/>
  <c r="I510" i="1"/>
  <c r="I514" i="1"/>
  <c r="K514" i="1" s="1"/>
  <c r="I518" i="1"/>
  <c r="I522" i="1"/>
  <c r="K522" i="1" s="1"/>
  <c r="I526" i="1"/>
  <c r="I530" i="1"/>
  <c r="K530" i="1" s="1"/>
  <c r="I534" i="1"/>
  <c r="K534" i="1" s="1"/>
  <c r="I538" i="1"/>
  <c r="I542" i="1"/>
  <c r="K542" i="1" s="1"/>
  <c r="I546" i="1"/>
  <c r="I550" i="1"/>
  <c r="K550" i="1" s="1"/>
  <c r="I554" i="1"/>
  <c r="I558" i="1"/>
  <c r="K558" i="1" s="1"/>
  <c r="I562" i="1"/>
  <c r="I566" i="1"/>
  <c r="K566" i="1" s="1"/>
  <c r="I570" i="1"/>
  <c r="I574" i="1"/>
  <c r="K574" i="1" s="1"/>
  <c r="I578" i="1"/>
  <c r="I582" i="1"/>
  <c r="I586" i="1"/>
  <c r="K586" i="1" s="1"/>
  <c r="I590" i="1"/>
  <c r="K590" i="1" s="1"/>
  <c r="I594" i="1"/>
  <c r="I17" i="1"/>
  <c r="I81" i="1"/>
  <c r="K81" i="1" s="1"/>
  <c r="I145" i="1"/>
  <c r="I209" i="1"/>
  <c r="I273" i="1"/>
  <c r="K273" i="1" s="1"/>
  <c r="I337" i="1"/>
  <c r="I355" i="1"/>
  <c r="K355" i="1" s="1"/>
  <c r="I371" i="1"/>
  <c r="I387" i="1"/>
  <c r="I403" i="1"/>
  <c r="K403" i="1" s="1"/>
  <c r="I419" i="1"/>
  <c r="I435" i="1"/>
  <c r="K435" i="1" s="1"/>
  <c r="I451" i="1"/>
  <c r="I467" i="1"/>
  <c r="K467" i="1" s="1"/>
  <c r="I483" i="1"/>
  <c r="K483" i="1" s="1"/>
  <c r="I499" i="1"/>
  <c r="I515" i="1"/>
  <c r="K515" i="1" s="1"/>
  <c r="I531" i="1"/>
  <c r="K531" i="1" s="1"/>
  <c r="I547" i="1"/>
  <c r="I563" i="1"/>
  <c r="I576" i="1"/>
  <c r="I584" i="1"/>
  <c r="K584" i="1" s="1"/>
  <c r="I592" i="1"/>
  <c r="I598" i="1"/>
  <c r="I602" i="1"/>
  <c r="K602" i="1" s="1"/>
  <c r="I606" i="1"/>
  <c r="K606" i="1" s="1"/>
  <c r="I610" i="1"/>
  <c r="K610" i="1" s="1"/>
  <c r="I614" i="1"/>
  <c r="I618" i="1"/>
  <c r="K618" i="1" s="1"/>
  <c r="I622" i="1"/>
  <c r="K622" i="1" s="1"/>
  <c r="I626" i="1"/>
  <c r="K626" i="1" s="1"/>
  <c r="I630" i="1"/>
  <c r="K630" i="1" s="1"/>
  <c r="I634" i="1"/>
  <c r="I638" i="1"/>
  <c r="I642" i="1"/>
  <c r="K642" i="1" s="1"/>
  <c r="I646" i="1"/>
  <c r="K646" i="1" s="1"/>
  <c r="I650" i="1"/>
  <c r="K650" i="1" s="1"/>
  <c r="I654" i="1"/>
  <c r="K654" i="1" s="1"/>
  <c r="I658" i="1"/>
  <c r="I662" i="1"/>
  <c r="I666" i="1"/>
  <c r="K666" i="1" s="1"/>
  <c r="I670" i="1"/>
  <c r="K670" i="1" s="1"/>
  <c r="I674" i="1"/>
  <c r="K674" i="1" s="1"/>
  <c r="I678" i="1"/>
  <c r="K678" i="1" s="1"/>
  <c r="I682" i="1"/>
  <c r="I686" i="1"/>
  <c r="I690" i="1"/>
  <c r="I694" i="1"/>
  <c r="K694" i="1" s="1"/>
  <c r="I698" i="1"/>
  <c r="K698" i="1" s="1"/>
  <c r="I702" i="1"/>
  <c r="I706" i="1"/>
  <c r="K706" i="1" s="1"/>
  <c r="I710" i="1"/>
  <c r="K710" i="1" s="1"/>
  <c r="I714" i="1"/>
  <c r="K714" i="1" s="1"/>
  <c r="I718" i="1"/>
  <c r="I722" i="1"/>
  <c r="I726" i="1"/>
  <c r="I730" i="1"/>
  <c r="K730" i="1" s="1"/>
  <c r="I734" i="1"/>
  <c r="I738" i="1"/>
  <c r="K738" i="1" s="1"/>
  <c r="I742" i="1"/>
  <c r="K742" i="1" s="1"/>
  <c r="I746" i="1"/>
  <c r="K746" i="1" s="1"/>
  <c r="I750" i="1"/>
  <c r="K750" i="1" s="1"/>
  <c r="I754" i="1"/>
  <c r="K754" i="1" s="1"/>
  <c r="I758" i="1"/>
  <c r="K758" i="1" s="1"/>
  <c r="I762" i="1"/>
  <c r="K762" i="1" s="1"/>
  <c r="I766" i="1"/>
  <c r="I770" i="1"/>
  <c r="K770" i="1" s="1"/>
  <c r="I774" i="1"/>
  <c r="I778" i="1"/>
  <c r="K778" i="1" s="1"/>
  <c r="I782" i="1"/>
  <c r="K782" i="1" s="1"/>
  <c r="I786" i="1"/>
  <c r="K786" i="1" s="1"/>
  <c r="I790" i="1"/>
  <c r="K790" i="1" s="1"/>
  <c r="I794" i="1"/>
  <c r="K794" i="1" s="1"/>
  <c r="I798" i="1"/>
  <c r="I802" i="1"/>
  <c r="K802" i="1" s="1"/>
  <c r="I806" i="1"/>
  <c r="K806" i="1" s="1"/>
  <c r="I810" i="1"/>
  <c r="I814" i="1"/>
  <c r="K814" i="1" s="1"/>
  <c r="I818" i="1"/>
  <c r="K818" i="1" s="1"/>
  <c r="I822" i="1"/>
  <c r="I826" i="1"/>
  <c r="K826" i="1" s="1"/>
  <c r="I830" i="1"/>
  <c r="I834" i="1"/>
  <c r="K834" i="1" s="1"/>
  <c r="I838" i="1"/>
  <c r="K838" i="1" s="1"/>
  <c r="I842" i="1"/>
  <c r="K842" i="1" s="1"/>
  <c r="I846" i="1"/>
  <c r="K846" i="1" s="1"/>
  <c r="I33" i="1"/>
  <c r="I97" i="1"/>
  <c r="I161" i="1"/>
  <c r="K161" i="1" s="1"/>
  <c r="I225" i="1"/>
  <c r="I289" i="1"/>
  <c r="K289" i="1" s="1"/>
  <c r="I343" i="1"/>
  <c r="K343" i="1" s="1"/>
  <c r="I359" i="1"/>
  <c r="K359" i="1" s="1"/>
  <c r="I375" i="1"/>
  <c r="I391" i="1"/>
  <c r="I407" i="1"/>
  <c r="I423" i="1"/>
  <c r="K423" i="1" s="1"/>
  <c r="I439" i="1"/>
  <c r="I455" i="1"/>
  <c r="K455" i="1" s="1"/>
  <c r="I471" i="1"/>
  <c r="I487" i="1"/>
  <c r="K487" i="1" s="1"/>
  <c r="I503" i="1"/>
  <c r="K503" i="1" s="1"/>
  <c r="I519" i="1"/>
  <c r="I535" i="1"/>
  <c r="I551" i="1"/>
  <c r="K551" i="1" s="1"/>
  <c r="I567" i="1"/>
  <c r="K567" i="1" s="1"/>
  <c r="I579" i="1"/>
  <c r="K579" i="1" s="1"/>
  <c r="I587" i="1"/>
  <c r="I595" i="1"/>
  <c r="K595" i="1" s="1"/>
  <c r="I599" i="1"/>
  <c r="I603" i="1"/>
  <c r="I607" i="1"/>
  <c r="K607" i="1" s="1"/>
  <c r="I611" i="1"/>
  <c r="K611" i="1" s="1"/>
  <c r="I615" i="1"/>
  <c r="I619" i="1"/>
  <c r="I623" i="1"/>
  <c r="K623" i="1" s="1"/>
  <c r="I627" i="1"/>
  <c r="K627" i="1" s="1"/>
  <c r="I631" i="1"/>
  <c r="K631" i="1" s="1"/>
  <c r="I635" i="1"/>
  <c r="I639" i="1"/>
  <c r="K639" i="1" s="1"/>
  <c r="I643" i="1"/>
  <c r="K643" i="1" s="1"/>
  <c r="I647" i="1"/>
  <c r="I651" i="1"/>
  <c r="I655" i="1"/>
  <c r="K655" i="1" s="1"/>
  <c r="I659" i="1"/>
  <c r="K659" i="1" s="1"/>
  <c r="I663" i="1"/>
  <c r="I667" i="1"/>
  <c r="I671" i="1"/>
  <c r="K671" i="1" s="1"/>
  <c r="I675" i="1"/>
  <c r="K675" i="1" s="1"/>
  <c r="I679" i="1"/>
  <c r="I683" i="1"/>
  <c r="I687" i="1"/>
  <c r="K687" i="1" s="1"/>
  <c r="I691" i="1"/>
  <c r="K691" i="1" s="1"/>
  <c r="I695" i="1"/>
  <c r="I699" i="1"/>
  <c r="K699" i="1" s="1"/>
  <c r="I703" i="1"/>
  <c r="K703" i="1" s="1"/>
  <c r="I707" i="1"/>
  <c r="K707" i="1" s="1"/>
  <c r="I711" i="1"/>
  <c r="I715" i="1"/>
  <c r="I719" i="1"/>
  <c r="I723" i="1"/>
  <c r="K723" i="1" s="1"/>
  <c r="I727" i="1"/>
  <c r="K727" i="1" s="1"/>
  <c r="I731" i="1"/>
  <c r="I735" i="1"/>
  <c r="I739" i="1"/>
  <c r="K739" i="1" s="1"/>
  <c r="I743" i="1"/>
  <c r="I747" i="1"/>
  <c r="I751" i="1"/>
  <c r="K751" i="1" s="1"/>
  <c r="I755" i="1"/>
  <c r="K755" i="1" s="1"/>
  <c r="I759" i="1"/>
  <c r="K759" i="1" s="1"/>
  <c r="I763" i="1"/>
  <c r="I767" i="1"/>
  <c r="K767" i="1" s="1"/>
  <c r="I771" i="1"/>
  <c r="K771" i="1" s="1"/>
  <c r="I775" i="1"/>
  <c r="I779" i="1"/>
  <c r="I783" i="1"/>
  <c r="K783" i="1" s="1"/>
  <c r="I787" i="1"/>
  <c r="K787" i="1" s="1"/>
  <c r="I791" i="1"/>
  <c r="K791" i="1" s="1"/>
  <c r="I795" i="1"/>
  <c r="I799" i="1"/>
  <c r="K799" i="1" s="1"/>
  <c r="I803" i="1"/>
  <c r="K803" i="1" s="1"/>
  <c r="I807" i="1"/>
  <c r="I811" i="1"/>
  <c r="K811" i="1" s="1"/>
  <c r="I815" i="1"/>
  <c r="K815" i="1" s="1"/>
  <c r="I819" i="1"/>
  <c r="I823" i="1"/>
  <c r="I827" i="1"/>
  <c r="I831" i="1"/>
  <c r="K831" i="1" s="1"/>
  <c r="I835" i="1"/>
  <c r="K835" i="1" s="1"/>
  <c r="I839" i="1"/>
  <c r="I843" i="1"/>
  <c r="I847" i="1"/>
  <c r="K847" i="1" s="1"/>
  <c r="I49" i="1"/>
  <c r="I113" i="1"/>
  <c r="K113" i="1" s="1"/>
  <c r="I177" i="1"/>
  <c r="I241" i="1"/>
  <c r="K241" i="1" s="1"/>
  <c r="I305" i="1"/>
  <c r="K305" i="1" s="1"/>
  <c r="I347" i="1"/>
  <c r="J347" i="1" s="1"/>
  <c r="I363" i="1"/>
  <c r="I379" i="1"/>
  <c r="K379" i="1" s="1"/>
  <c r="I395" i="1"/>
  <c r="K395" i="1" s="1"/>
  <c r="I411" i="1"/>
  <c r="K411" i="1" s="1"/>
  <c r="I427" i="1"/>
  <c r="K427" i="1" s="1"/>
  <c r="I443" i="1"/>
  <c r="I459" i="1"/>
  <c r="K459" i="1" s="1"/>
  <c r="I475" i="1"/>
  <c r="K475" i="1" s="1"/>
  <c r="I491" i="1"/>
  <c r="I507" i="1"/>
  <c r="K507" i="1" s="1"/>
  <c r="I523" i="1"/>
  <c r="I539" i="1"/>
  <c r="I555" i="1"/>
  <c r="K555" i="1" s="1"/>
  <c r="I571" i="1"/>
  <c r="I580" i="1"/>
  <c r="K580" i="1" s="1"/>
  <c r="I588" i="1"/>
  <c r="I596" i="1"/>
  <c r="K596" i="1" s="1"/>
  <c r="I600" i="1"/>
  <c r="K600" i="1" s="1"/>
  <c r="I604" i="1"/>
  <c r="K604" i="1" s="1"/>
  <c r="I608" i="1"/>
  <c r="I612" i="1"/>
  <c r="K612" i="1" s="1"/>
  <c r="I616" i="1"/>
  <c r="I620" i="1"/>
  <c r="K620" i="1" s="1"/>
  <c r="I624" i="1"/>
  <c r="I628" i="1"/>
  <c r="K628" i="1" s="1"/>
  <c r="I632" i="1"/>
  <c r="I636" i="1"/>
  <c r="K636" i="1" s="1"/>
  <c r="I640" i="1"/>
  <c r="I644" i="1"/>
  <c r="K644" i="1" s="1"/>
  <c r="I648" i="1"/>
  <c r="I652" i="1"/>
  <c r="K652" i="1" s="1"/>
  <c r="I656" i="1"/>
  <c r="I660" i="1"/>
  <c r="K660" i="1" s="1"/>
  <c r="I664" i="1"/>
  <c r="I668" i="1"/>
  <c r="K668" i="1" s="1"/>
  <c r="I672" i="1"/>
  <c r="K672" i="1" s="1"/>
  <c r="I676" i="1"/>
  <c r="K676" i="1" s="1"/>
  <c r="I680" i="1"/>
  <c r="K680" i="1" s="1"/>
  <c r="I684" i="1"/>
  <c r="K684" i="1" s="1"/>
  <c r="I688" i="1"/>
  <c r="I692" i="1"/>
  <c r="K692" i="1" s="1"/>
  <c r="I696" i="1"/>
  <c r="K696" i="1" s="1"/>
  <c r="I700" i="1"/>
  <c r="K700" i="1" s="1"/>
  <c r="I704" i="1"/>
  <c r="I708" i="1"/>
  <c r="K708" i="1" s="1"/>
  <c r="I712" i="1"/>
  <c r="K712" i="1" s="1"/>
  <c r="I716" i="1"/>
  <c r="K716" i="1" s="1"/>
  <c r="I720" i="1"/>
  <c r="I724" i="1"/>
  <c r="K724" i="1" s="1"/>
  <c r="I728" i="1"/>
  <c r="K728" i="1" s="1"/>
  <c r="I732" i="1"/>
  <c r="K732" i="1" s="1"/>
  <c r="I736" i="1"/>
  <c r="K736" i="1" s="1"/>
  <c r="I740" i="1"/>
  <c r="I744" i="1"/>
  <c r="K744" i="1" s="1"/>
  <c r="I748" i="1"/>
  <c r="K748" i="1" s="1"/>
  <c r="I752" i="1"/>
  <c r="I756" i="1"/>
  <c r="I760" i="1"/>
  <c r="I764" i="1"/>
  <c r="K764" i="1" s="1"/>
  <c r="I768" i="1"/>
  <c r="K768" i="1" s="1"/>
  <c r="I772" i="1"/>
  <c r="K772" i="1" s="1"/>
  <c r="I776" i="1"/>
  <c r="K776" i="1" s="1"/>
  <c r="I780" i="1"/>
  <c r="K780" i="1" s="1"/>
  <c r="I784" i="1"/>
  <c r="I788" i="1"/>
  <c r="K788" i="1" s="1"/>
  <c r="I792" i="1"/>
  <c r="K792" i="1" s="1"/>
  <c r="I796" i="1"/>
  <c r="K796" i="1" s="1"/>
  <c r="I800" i="1"/>
  <c r="I804" i="1"/>
  <c r="K804" i="1" s="1"/>
  <c r="I808" i="1"/>
  <c r="I812" i="1"/>
  <c r="K812" i="1" s="1"/>
  <c r="I816" i="1"/>
  <c r="I820" i="1"/>
  <c r="K820" i="1" s="1"/>
  <c r="I824" i="1"/>
  <c r="K824" i="1" s="1"/>
  <c r="I828" i="1"/>
  <c r="K828" i="1" s="1"/>
  <c r="I832" i="1"/>
  <c r="I836" i="1"/>
  <c r="K836" i="1" s="1"/>
  <c r="I840" i="1"/>
  <c r="K840" i="1" s="1"/>
  <c r="I844" i="1"/>
  <c r="K844" i="1" s="1"/>
  <c r="I1026" i="1"/>
  <c r="K1026" i="1" s="1"/>
  <c r="I1014" i="1"/>
  <c r="K1014" i="1" s="1"/>
  <c r="I1002" i="1"/>
  <c r="K1002" i="1" s="1"/>
  <c r="I990" i="1"/>
  <c r="K990" i="1" s="1"/>
  <c r="I978" i="1"/>
  <c r="K978" i="1" s="1"/>
  <c r="I962" i="1"/>
  <c r="K962" i="1" s="1"/>
  <c r="I946" i="1"/>
  <c r="K946" i="1" s="1"/>
  <c r="I930" i="1"/>
  <c r="K930" i="1" s="1"/>
  <c r="I918" i="1"/>
  <c r="K918" i="1" s="1"/>
  <c r="I902" i="1"/>
  <c r="I890" i="1"/>
  <c r="K890" i="1" s="1"/>
  <c r="I878" i="1"/>
  <c r="K878" i="1" s="1"/>
  <c r="I858" i="1"/>
  <c r="K858" i="1" s="1"/>
  <c r="I777" i="1"/>
  <c r="K777" i="1" s="1"/>
  <c r="I447" i="1"/>
  <c r="K447" i="1" s="1"/>
  <c r="I1036" i="1"/>
  <c r="K1036" i="1" s="1"/>
  <c r="I1032" i="1"/>
  <c r="K1032" i="1" s="1"/>
  <c r="I1028" i="1"/>
  <c r="K1028" i="1" s="1"/>
  <c r="I1024" i="1"/>
  <c r="K1024" i="1" s="1"/>
  <c r="I1020" i="1"/>
  <c r="K1020" i="1" s="1"/>
  <c r="I1016" i="1"/>
  <c r="K1016" i="1" s="1"/>
  <c r="I1012" i="1"/>
  <c r="K1012" i="1" s="1"/>
  <c r="I1008" i="1"/>
  <c r="K1008" i="1" s="1"/>
  <c r="I1004" i="1"/>
  <c r="K1004" i="1" s="1"/>
  <c r="I1000" i="1"/>
  <c r="K1000" i="1" s="1"/>
  <c r="I996" i="1"/>
  <c r="K996" i="1" s="1"/>
  <c r="I992" i="1"/>
  <c r="K992" i="1" s="1"/>
  <c r="I988" i="1"/>
  <c r="K988" i="1" s="1"/>
  <c r="I984" i="1"/>
  <c r="K984" i="1" s="1"/>
  <c r="I980" i="1"/>
  <c r="K980" i="1" s="1"/>
  <c r="I976" i="1"/>
  <c r="K976" i="1" s="1"/>
  <c r="I972" i="1"/>
  <c r="K972" i="1" s="1"/>
  <c r="I968" i="1"/>
  <c r="K968" i="1" s="1"/>
  <c r="I964" i="1"/>
  <c r="K964" i="1" s="1"/>
  <c r="I960" i="1"/>
  <c r="K960" i="1" s="1"/>
  <c r="I956" i="1"/>
  <c r="K956" i="1" s="1"/>
  <c r="I952" i="1"/>
  <c r="K952" i="1" s="1"/>
  <c r="I948" i="1"/>
  <c r="K948" i="1" s="1"/>
  <c r="I944" i="1"/>
  <c r="K944" i="1" s="1"/>
  <c r="I940" i="1"/>
  <c r="K940" i="1" s="1"/>
  <c r="I936" i="1"/>
  <c r="K936" i="1" s="1"/>
  <c r="I932" i="1"/>
  <c r="K932" i="1" s="1"/>
  <c r="I928" i="1"/>
  <c r="K928" i="1" s="1"/>
  <c r="I924" i="1"/>
  <c r="K924" i="1" s="1"/>
  <c r="I920" i="1"/>
  <c r="K920" i="1" s="1"/>
  <c r="I916" i="1"/>
  <c r="K916" i="1" s="1"/>
  <c r="I912" i="1"/>
  <c r="K912" i="1" s="1"/>
  <c r="I908" i="1"/>
  <c r="K908" i="1" s="1"/>
  <c r="I904" i="1"/>
  <c r="K904" i="1" s="1"/>
  <c r="I900" i="1"/>
  <c r="K900" i="1" s="1"/>
  <c r="I896" i="1"/>
  <c r="K896" i="1" s="1"/>
  <c r="I892" i="1"/>
  <c r="K892" i="1" s="1"/>
  <c r="I888" i="1"/>
  <c r="K888" i="1" s="1"/>
  <c r="I884" i="1"/>
  <c r="K884" i="1" s="1"/>
  <c r="I880" i="1"/>
  <c r="K880" i="1" s="1"/>
  <c r="I876" i="1"/>
  <c r="I872" i="1"/>
  <c r="K872" i="1" s="1"/>
  <c r="I868" i="1"/>
  <c r="K868" i="1" s="1"/>
  <c r="I864" i="1"/>
  <c r="I860" i="1"/>
  <c r="I856" i="1"/>
  <c r="I852" i="1"/>
  <c r="K852" i="1" s="1"/>
  <c r="I848" i="1"/>
  <c r="I833" i="1"/>
  <c r="K833" i="1" s="1"/>
  <c r="I817" i="1"/>
  <c r="K817" i="1" s="1"/>
  <c r="I801" i="1"/>
  <c r="K801" i="1" s="1"/>
  <c r="I785" i="1"/>
  <c r="K785" i="1" s="1"/>
  <c r="I769" i="1"/>
  <c r="K769" i="1" s="1"/>
  <c r="I753" i="1"/>
  <c r="K753" i="1" s="1"/>
  <c r="I737" i="1"/>
  <c r="K737" i="1" s="1"/>
  <c r="I721" i="1"/>
  <c r="K721" i="1" s="1"/>
  <c r="I705" i="1"/>
  <c r="I689" i="1"/>
  <c r="K689" i="1" s="1"/>
  <c r="I673" i="1"/>
  <c r="K673" i="1" s="1"/>
  <c r="I657" i="1"/>
  <c r="K657" i="1" s="1"/>
  <c r="I641" i="1"/>
  <c r="K641" i="1" s="1"/>
  <c r="I625" i="1"/>
  <c r="K625" i="1" s="1"/>
  <c r="I609" i="1"/>
  <c r="K609" i="1" s="1"/>
  <c r="I591" i="1"/>
  <c r="I543" i="1"/>
  <c r="K543" i="1" s="1"/>
  <c r="I479" i="1"/>
  <c r="K479" i="1" s="1"/>
  <c r="I415" i="1"/>
  <c r="K415" i="1" s="1"/>
  <c r="I351" i="1"/>
  <c r="I129" i="1"/>
  <c r="K129" i="1" s="1"/>
  <c r="I1030" i="1"/>
  <c r="K1030" i="1" s="1"/>
  <c r="I1018" i="1"/>
  <c r="K1018" i="1" s="1"/>
  <c r="I1006" i="1"/>
  <c r="K1006" i="1" s="1"/>
  <c r="I994" i="1"/>
  <c r="K994" i="1" s="1"/>
  <c r="I982" i="1"/>
  <c r="K982" i="1" s="1"/>
  <c r="I970" i="1"/>
  <c r="K970" i="1" s="1"/>
  <c r="I958" i="1"/>
  <c r="K958" i="1" s="1"/>
  <c r="I950" i="1"/>
  <c r="K950" i="1" s="1"/>
  <c r="I938" i="1"/>
  <c r="K938" i="1" s="1"/>
  <c r="I926" i="1"/>
  <c r="K926" i="1" s="1"/>
  <c r="I914" i="1"/>
  <c r="K914" i="1" s="1"/>
  <c r="I906" i="1"/>
  <c r="K906" i="1" s="1"/>
  <c r="I894" i="1"/>
  <c r="K894" i="1" s="1"/>
  <c r="I886" i="1"/>
  <c r="K886" i="1" s="1"/>
  <c r="I870" i="1"/>
  <c r="K870" i="1" s="1"/>
  <c r="I866" i="1"/>
  <c r="I854" i="1"/>
  <c r="I841" i="1"/>
  <c r="K841" i="1" s="1"/>
  <c r="I809" i="1"/>
  <c r="K809" i="1" s="1"/>
  <c r="I761" i="1"/>
  <c r="K761" i="1" s="1"/>
  <c r="I729" i="1"/>
  <c r="K729" i="1" s="1"/>
  <c r="I713" i="1"/>
  <c r="K713" i="1" s="1"/>
  <c r="I681" i="1"/>
  <c r="K681" i="1" s="1"/>
  <c r="I649" i="1"/>
  <c r="K649" i="1" s="1"/>
  <c r="I617" i="1"/>
  <c r="K617" i="1" s="1"/>
  <c r="I575" i="1"/>
  <c r="K575" i="1" s="1"/>
  <c r="I257" i="1"/>
  <c r="I1035" i="1"/>
  <c r="K1035" i="1" s="1"/>
  <c r="I1031" i="1"/>
  <c r="K1031" i="1" s="1"/>
  <c r="I1027" i="1"/>
  <c r="K1027" i="1" s="1"/>
  <c r="I1023" i="1"/>
  <c r="K1023" i="1" s="1"/>
  <c r="I1019" i="1"/>
  <c r="K1019" i="1" s="1"/>
  <c r="I1015" i="1"/>
  <c r="K1015" i="1" s="1"/>
  <c r="I1011" i="1"/>
  <c r="K1011" i="1" s="1"/>
  <c r="I1007" i="1"/>
  <c r="K1007" i="1" s="1"/>
  <c r="I1003" i="1"/>
  <c r="K1003" i="1" s="1"/>
  <c r="I999" i="1"/>
  <c r="K999" i="1" s="1"/>
  <c r="I995" i="1"/>
  <c r="K995" i="1" s="1"/>
  <c r="I991" i="1"/>
  <c r="K991" i="1" s="1"/>
  <c r="I987" i="1"/>
  <c r="K987" i="1" s="1"/>
  <c r="I983" i="1"/>
  <c r="I979" i="1"/>
  <c r="K979" i="1" s="1"/>
  <c r="I975" i="1"/>
  <c r="K975" i="1" s="1"/>
  <c r="I971" i="1"/>
  <c r="K971" i="1" s="1"/>
  <c r="I967" i="1"/>
  <c r="K967" i="1" s="1"/>
  <c r="I963" i="1"/>
  <c r="K963" i="1" s="1"/>
  <c r="I959" i="1"/>
  <c r="K959" i="1" s="1"/>
  <c r="I955" i="1"/>
  <c r="K955" i="1" s="1"/>
  <c r="I951" i="1"/>
  <c r="K951" i="1" s="1"/>
  <c r="I947" i="1"/>
  <c r="K947" i="1" s="1"/>
  <c r="I943" i="1"/>
  <c r="K943" i="1" s="1"/>
  <c r="I939" i="1"/>
  <c r="K939" i="1" s="1"/>
  <c r="I935" i="1"/>
  <c r="K935" i="1" s="1"/>
  <c r="I931" i="1"/>
  <c r="K931" i="1" s="1"/>
  <c r="I927" i="1"/>
  <c r="K927" i="1" s="1"/>
  <c r="I923" i="1"/>
  <c r="K923" i="1" s="1"/>
  <c r="I919" i="1"/>
  <c r="K919" i="1" s="1"/>
  <c r="I915" i="1"/>
  <c r="K915" i="1" s="1"/>
  <c r="I911" i="1"/>
  <c r="K911" i="1" s="1"/>
  <c r="I907" i="1"/>
  <c r="K907" i="1" s="1"/>
  <c r="I903" i="1"/>
  <c r="K903" i="1" s="1"/>
  <c r="I899" i="1"/>
  <c r="K899" i="1" s="1"/>
  <c r="I895" i="1"/>
  <c r="K895" i="1" s="1"/>
  <c r="I891" i="1"/>
  <c r="K891" i="1" s="1"/>
  <c r="I887" i="1"/>
  <c r="K887" i="1" s="1"/>
  <c r="I883" i="1"/>
  <c r="K883" i="1" s="1"/>
  <c r="I879" i="1"/>
  <c r="K879" i="1" s="1"/>
  <c r="I875" i="1"/>
  <c r="K875" i="1" s="1"/>
  <c r="I871" i="1"/>
  <c r="K871" i="1" s="1"/>
  <c r="I867" i="1"/>
  <c r="I863" i="1"/>
  <c r="K863" i="1" s="1"/>
  <c r="I859" i="1"/>
  <c r="I855" i="1"/>
  <c r="I851" i="1"/>
  <c r="I845" i="1"/>
  <c r="K845" i="1" s="1"/>
  <c r="I829" i="1"/>
  <c r="K829" i="1" s="1"/>
  <c r="I813" i="1"/>
  <c r="K813" i="1" s="1"/>
  <c r="I797" i="1"/>
  <c r="K797" i="1" s="1"/>
  <c r="I781" i="1"/>
  <c r="K781" i="1" s="1"/>
  <c r="I765" i="1"/>
  <c r="K765" i="1" s="1"/>
  <c r="I749" i="1"/>
  <c r="K749" i="1" s="1"/>
  <c r="I733" i="1"/>
  <c r="K733" i="1" s="1"/>
  <c r="I717" i="1"/>
  <c r="K717" i="1" s="1"/>
  <c r="I701" i="1"/>
  <c r="K701" i="1" s="1"/>
  <c r="I685" i="1"/>
  <c r="K685" i="1" s="1"/>
  <c r="I669" i="1"/>
  <c r="K669" i="1" s="1"/>
  <c r="I653" i="1"/>
  <c r="K653" i="1" s="1"/>
  <c r="I637" i="1"/>
  <c r="K637" i="1" s="1"/>
  <c r="I621" i="1"/>
  <c r="K621" i="1" s="1"/>
  <c r="I605" i="1"/>
  <c r="K605" i="1" s="1"/>
  <c r="I583" i="1"/>
  <c r="I527" i="1"/>
  <c r="K527" i="1" s="1"/>
  <c r="I463" i="1"/>
  <c r="K463" i="1" s="1"/>
  <c r="I399" i="1"/>
  <c r="K399" i="1" s="1"/>
  <c r="I321" i="1"/>
  <c r="I65" i="1"/>
  <c r="J532" i="1" s="1"/>
  <c r="K281" i="1"/>
  <c r="K277" i="1"/>
  <c r="J233" i="1"/>
  <c r="K229" i="1"/>
  <c r="K209" i="1"/>
  <c r="K193" i="1"/>
  <c r="K169" i="1"/>
  <c r="K165" i="1"/>
  <c r="K153" i="1"/>
  <c r="K149" i="1"/>
  <c r="K105" i="1"/>
  <c r="K101" i="1"/>
  <c r="K89" i="1"/>
  <c r="K85" i="1"/>
  <c r="K41" i="1"/>
  <c r="K37" i="1"/>
  <c r="J25" i="1"/>
  <c r="K21" i="1"/>
  <c r="K17" i="1"/>
  <c r="J661" i="1"/>
  <c r="K664" i="1"/>
  <c r="K616" i="1"/>
  <c r="K576" i="1"/>
  <c r="K568" i="1"/>
  <c r="K520" i="1"/>
  <c r="K504" i="1"/>
  <c r="J488" i="1"/>
  <c r="K456" i="1"/>
  <c r="K436" i="1"/>
  <c r="K424" i="1"/>
  <c r="K420" i="1"/>
  <c r="K404" i="1"/>
  <c r="K392" i="1"/>
  <c r="K388" i="1"/>
  <c r="K372" i="1"/>
  <c r="K360" i="1"/>
  <c r="K356" i="1"/>
  <c r="K336" i="1"/>
  <c r="K332" i="1"/>
  <c r="K320" i="1"/>
  <c r="K316" i="1"/>
  <c r="K304" i="1"/>
  <c r="K300" i="1"/>
  <c r="K284" i="1"/>
  <c r="K272" i="1"/>
  <c r="K268" i="1"/>
  <c r="K252" i="1"/>
  <c r="K240" i="1"/>
  <c r="K236" i="1"/>
  <c r="K220" i="1"/>
  <c r="K208" i="1"/>
  <c r="K204" i="1"/>
  <c r="K188" i="1"/>
  <c r="K176" i="1"/>
  <c r="K172" i="1"/>
  <c r="K156" i="1"/>
  <c r="K144" i="1"/>
  <c r="K140" i="1"/>
  <c r="K124" i="1"/>
  <c r="K112" i="1"/>
  <c r="K108" i="1"/>
  <c r="K92" i="1"/>
  <c r="K80" i="1"/>
  <c r="K76" i="1"/>
  <c r="K60" i="1"/>
  <c r="K48" i="1"/>
  <c r="K44" i="1"/>
  <c r="K28" i="1"/>
  <c r="K16" i="1"/>
  <c r="K12" i="1"/>
  <c r="J831" i="1"/>
  <c r="K571" i="1"/>
  <c r="K563" i="1"/>
  <c r="K535" i="1"/>
  <c r="K511" i="1"/>
  <c r="K499" i="1"/>
  <c r="K451" i="1"/>
  <c r="K443" i="1"/>
  <c r="K407" i="1"/>
  <c r="K383" i="1"/>
  <c r="K339" i="1"/>
  <c r="K331" i="1"/>
  <c r="K315" i="1"/>
  <c r="K299" i="1"/>
  <c r="K283" i="1"/>
  <c r="K267" i="1"/>
  <c r="K251" i="1"/>
  <c r="K235" i="1"/>
  <c r="K219" i="1"/>
  <c r="K203" i="1"/>
  <c r="K187" i="1"/>
  <c r="K171" i="1"/>
  <c r="K155" i="1"/>
  <c r="K139" i="1"/>
  <c r="K127" i="1"/>
  <c r="K123" i="1"/>
  <c r="K111" i="1"/>
  <c r="K107" i="1"/>
  <c r="K95" i="1"/>
  <c r="K91" i="1"/>
  <c r="K79" i="1"/>
  <c r="K75" i="1"/>
  <c r="K63" i="1"/>
  <c r="K59" i="1"/>
  <c r="K47" i="1"/>
  <c r="K43" i="1"/>
  <c r="K31" i="1"/>
  <c r="K27" i="1"/>
  <c r="K15" i="1"/>
  <c r="K11" i="1"/>
  <c r="J882" i="1"/>
  <c r="K361" i="1"/>
  <c r="K341" i="1"/>
  <c r="K719" i="1"/>
  <c r="K559" i="1"/>
  <c r="J515" i="1"/>
  <c r="K471" i="1"/>
  <c r="K387" i="1"/>
  <c r="K371" i="1"/>
  <c r="K367" i="1"/>
  <c r="K319" i="1"/>
  <c r="K303" i="1"/>
  <c r="K271" i="1"/>
  <c r="K255" i="1"/>
  <c r="K239" i="1"/>
  <c r="J223" i="1"/>
  <c r="K207" i="1"/>
  <c r="K191" i="1"/>
  <c r="J175" i="1"/>
  <c r="K159" i="1"/>
  <c r="K850" i="1"/>
  <c r="K822" i="1"/>
  <c r="K810" i="1"/>
  <c r="K774" i="1"/>
  <c r="K726" i="1"/>
  <c r="K682" i="1"/>
  <c r="K662" i="1"/>
  <c r="K634" i="1"/>
  <c r="K614" i="1"/>
  <c r="K598" i="1"/>
  <c r="K594" i="1"/>
  <c r="K582" i="1"/>
  <c r="K578" i="1"/>
  <c r="K562" i="1"/>
  <c r="K546" i="1"/>
  <c r="K518" i="1"/>
  <c r="K502" i="1"/>
  <c r="K482" i="1"/>
  <c r="K470" i="1"/>
  <c r="K466" i="1"/>
  <c r="K438" i="1"/>
  <c r="K434" i="1"/>
  <c r="J402" i="1"/>
  <c r="K390" i="1"/>
  <c r="K386" i="1"/>
  <c r="K370" i="1"/>
  <c r="K354" i="1"/>
  <c r="K342" i="1"/>
  <c r="K338" i="1"/>
  <c r="K334" i="1"/>
  <c r="K322" i="1"/>
  <c r="K318" i="1"/>
  <c r="K306" i="1"/>
  <c r="K302" i="1"/>
  <c r="K290" i="1"/>
  <c r="K286" i="1"/>
  <c r="K274" i="1"/>
  <c r="K270" i="1"/>
  <c r="J270" i="1"/>
  <c r="K258" i="1"/>
  <c r="K254" i="1"/>
  <c r="J254" i="1"/>
  <c r="K242" i="1"/>
  <c r="K238" i="1"/>
  <c r="K226" i="1"/>
  <c r="K222" i="1"/>
  <c r="K210" i="1"/>
  <c r="K206" i="1"/>
  <c r="K194" i="1"/>
  <c r="J194" i="1"/>
  <c r="K190" i="1"/>
  <c r="K178" i="1"/>
  <c r="K174" i="1"/>
  <c r="K162" i="1"/>
  <c r="K158" i="1"/>
  <c r="K146" i="1"/>
  <c r="K142" i="1"/>
  <c r="K130" i="1"/>
  <c r="K126" i="1"/>
  <c r="J126" i="1"/>
  <c r="K114" i="1"/>
  <c r="K110" i="1"/>
  <c r="J110" i="1"/>
  <c r="K98" i="1"/>
  <c r="K94" i="1"/>
  <c r="K82" i="1"/>
  <c r="K78" i="1"/>
  <c r="K66" i="1"/>
  <c r="K62" i="1"/>
  <c r="K50" i="1"/>
  <c r="J50" i="1"/>
  <c r="K46" i="1"/>
  <c r="K34" i="1"/>
  <c r="J34" i="1"/>
  <c r="K30" i="1"/>
  <c r="K18" i="1"/>
  <c r="J18" i="1"/>
  <c r="K14" i="1"/>
  <c r="J2" i="1"/>
  <c r="K2" i="1"/>
  <c r="J1005" i="1"/>
  <c r="J973" i="1"/>
  <c r="J929" i="1"/>
  <c r="J897" i="1"/>
  <c r="J825" i="1"/>
  <c r="J393" i="1"/>
  <c r="J93" i="1"/>
  <c r="A4" i="3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J1032" i="1" l="1"/>
  <c r="J794" i="1"/>
  <c r="J374" i="1"/>
  <c r="J256" i="1"/>
  <c r="J457" i="1"/>
  <c r="J486" i="1"/>
  <c r="J714" i="1"/>
  <c r="J569" i="1"/>
  <c r="J161" i="1"/>
  <c r="J983" i="1"/>
  <c r="J800" i="1"/>
  <c r="J816" i="1"/>
  <c r="J656" i="1"/>
  <c r="J608" i="1"/>
  <c r="J663" i="1"/>
  <c r="J375" i="1"/>
  <c r="J830" i="1"/>
  <c r="J734" i="1"/>
  <c r="J686" i="1"/>
  <c r="J337" i="1"/>
  <c r="J570" i="1"/>
  <c r="J212" i="1"/>
  <c r="J307" i="1"/>
  <c r="J211" i="1"/>
  <c r="J67" i="1"/>
  <c r="J326" i="1"/>
  <c r="J198" i="1"/>
  <c r="J157" i="1"/>
  <c r="J585" i="1"/>
  <c r="J909" i="1"/>
  <c r="J945" i="1"/>
  <c r="J977" i="1"/>
  <c r="J1009" i="1"/>
  <c r="J78" i="1"/>
  <c r="J94" i="1"/>
  <c r="J146" i="1"/>
  <c r="J162" i="1"/>
  <c r="J222" i="1"/>
  <c r="J238" i="1"/>
  <c r="J290" i="1"/>
  <c r="J306" i="1"/>
  <c r="J322" i="1"/>
  <c r="J338" i="1"/>
  <c r="J530" i="1"/>
  <c r="J550" i="1"/>
  <c r="J646" i="1"/>
  <c r="J678" i="1"/>
  <c r="J835" i="1"/>
  <c r="J890" i="1"/>
  <c r="J63" i="1"/>
  <c r="J459" i="1"/>
  <c r="J304" i="1"/>
  <c r="J392" i="1"/>
  <c r="J837" i="1"/>
  <c r="J855" i="1"/>
  <c r="J854" i="1"/>
  <c r="J856" i="1"/>
  <c r="J752" i="1"/>
  <c r="J688" i="1"/>
  <c r="J624" i="1"/>
  <c r="J539" i="1"/>
  <c r="J711" i="1"/>
  <c r="J679" i="1"/>
  <c r="J615" i="1"/>
  <c r="J225" i="1"/>
  <c r="J766" i="1"/>
  <c r="J718" i="1"/>
  <c r="J538" i="1"/>
  <c r="J506" i="1"/>
  <c r="J474" i="1"/>
  <c r="J346" i="1"/>
  <c r="J313" i="1"/>
  <c r="J524" i="1"/>
  <c r="J476" i="1"/>
  <c r="J245" i="1"/>
  <c r="J324" i="1"/>
  <c r="J132" i="1"/>
  <c r="J84" i="1"/>
  <c r="J323" i="1"/>
  <c r="J83" i="1"/>
  <c r="J35" i="1"/>
  <c r="J310" i="1"/>
  <c r="J409" i="1"/>
  <c r="J221" i="1"/>
  <c r="J521" i="1"/>
  <c r="J913" i="1"/>
  <c r="J957" i="1"/>
  <c r="J989" i="1"/>
  <c r="J1021" i="1"/>
  <c r="J14" i="1"/>
  <c r="J30" i="1"/>
  <c r="J46" i="1"/>
  <c r="J114" i="1"/>
  <c r="J130" i="1"/>
  <c r="J190" i="1"/>
  <c r="J206" i="1"/>
  <c r="J258" i="1"/>
  <c r="J274" i="1"/>
  <c r="J418" i="1"/>
  <c r="J438" i="1"/>
  <c r="J534" i="1"/>
  <c r="J862" i="1"/>
  <c r="J623" i="1"/>
  <c r="J946" i="1"/>
  <c r="J47" i="1"/>
  <c r="J423" i="1"/>
  <c r="J849" i="1"/>
  <c r="J288" i="1"/>
  <c r="J376" i="1"/>
  <c r="J468" i="1"/>
  <c r="J552" i="1"/>
  <c r="J840" i="1"/>
  <c r="J105" i="1"/>
  <c r="J720" i="1"/>
  <c r="J640" i="1"/>
  <c r="J588" i="1"/>
  <c r="J839" i="1"/>
  <c r="J807" i="1"/>
  <c r="J775" i="1"/>
  <c r="J743" i="1"/>
  <c r="J695" i="1"/>
  <c r="J647" i="1"/>
  <c r="J599" i="1"/>
  <c r="J439" i="1"/>
  <c r="J798" i="1"/>
  <c r="J702" i="1"/>
  <c r="J554" i="1"/>
  <c r="J426" i="1"/>
  <c r="J365" i="1"/>
  <c r="J348" i="1"/>
  <c r="J340" i="1"/>
  <c r="J148" i="1"/>
  <c r="J52" i="1"/>
  <c r="J291" i="1"/>
  <c r="J147" i="1"/>
  <c r="J51" i="1"/>
  <c r="K3" i="1"/>
  <c r="J305" i="1"/>
  <c r="J293" i="1"/>
  <c r="J773" i="1"/>
  <c r="J597" i="1"/>
  <c r="J373" i="1"/>
  <c r="J796" i="1"/>
  <c r="J732" i="1"/>
  <c r="J568" i="1"/>
  <c r="J548" i="1"/>
  <c r="J504" i="1"/>
  <c r="J484" i="1"/>
  <c r="J408" i="1"/>
  <c r="J236" i="1"/>
  <c r="J204" i="1"/>
  <c r="J144" i="1"/>
  <c r="J108" i="1"/>
  <c r="J92" i="1"/>
  <c r="J76" i="1"/>
  <c r="J32" i="1"/>
  <c r="J357" i="1"/>
  <c r="J799" i="1"/>
  <c r="J687" i="1"/>
  <c r="J595" i="1"/>
  <c r="J331" i="1"/>
  <c r="J299" i="1"/>
  <c r="J267" i="1"/>
  <c r="J235" i="1"/>
  <c r="J203" i="1"/>
  <c r="J139" i="1"/>
  <c r="J1034" i="1"/>
  <c r="J934" i="1"/>
  <c r="J861" i="1"/>
  <c r="J803" i="1"/>
  <c r="J691" i="1"/>
  <c r="J559" i="1"/>
  <c r="J367" i="1"/>
  <c r="J319" i="1"/>
  <c r="J850" i="1"/>
  <c r="J634" i="1"/>
  <c r="J566" i="1"/>
  <c r="J502" i="1"/>
  <c r="J454" i="1"/>
  <c r="J406" i="1"/>
  <c r="J358" i="1"/>
  <c r="J241" i="1"/>
  <c r="J229" i="1"/>
  <c r="J101" i="1"/>
  <c r="J41" i="1"/>
  <c r="J21" i="1"/>
  <c r="J725" i="1"/>
  <c r="J581" i="1"/>
  <c r="J269" i="1"/>
  <c r="J776" i="1"/>
  <c r="J580" i="1"/>
  <c r="J564" i="1"/>
  <c r="J520" i="1"/>
  <c r="J500" i="1"/>
  <c r="J456" i="1"/>
  <c r="J388" i="1"/>
  <c r="J372" i="1"/>
  <c r="J332" i="1"/>
  <c r="J316" i="1"/>
  <c r="J300" i="1"/>
  <c r="J284" i="1"/>
  <c r="J268" i="1"/>
  <c r="J176" i="1"/>
  <c r="J160" i="1"/>
  <c r="J124" i="1"/>
  <c r="J48" i="1"/>
  <c r="J12" i="1"/>
  <c r="J511" i="1"/>
  <c r="J111" i="1"/>
  <c r="J75" i="1"/>
  <c r="J59" i="1"/>
  <c r="J43" i="1"/>
  <c r="J27" i="1"/>
  <c r="J1022" i="1"/>
  <c r="J898" i="1"/>
  <c r="J767" i="1"/>
  <c r="J655" i="1"/>
  <c r="J551" i="1"/>
  <c r="J343" i="1"/>
  <c r="J271" i="1"/>
  <c r="J191" i="1"/>
  <c r="J159" i="1"/>
  <c r="J806" i="1"/>
  <c r="J682" i="1"/>
  <c r="J630" i="1"/>
  <c r="J602" i="1"/>
  <c r="J582" i="1"/>
  <c r="J518" i="1"/>
  <c r="J470" i="1"/>
  <c r="J297" i="1"/>
  <c r="J217" i="1"/>
  <c r="J709" i="1"/>
  <c r="J501" i="1"/>
  <c r="J141" i="1"/>
  <c r="J764" i="1"/>
  <c r="J712" i="1"/>
  <c r="J536" i="1"/>
  <c r="J516" i="1"/>
  <c r="J472" i="1"/>
  <c r="J420" i="1"/>
  <c r="J240" i="1"/>
  <c r="J224" i="1"/>
  <c r="J208" i="1"/>
  <c r="J192" i="1"/>
  <c r="J140" i="1"/>
  <c r="J96" i="1"/>
  <c r="J80" i="1"/>
  <c r="J64" i="1"/>
  <c r="J28" i="1"/>
  <c r="J865" i="1"/>
  <c r="J345" i="1"/>
  <c r="J751" i="1"/>
  <c r="J435" i="1"/>
  <c r="J315" i="1"/>
  <c r="J283" i="1"/>
  <c r="J251" i="1"/>
  <c r="J219" i="1"/>
  <c r="J143" i="1"/>
  <c r="J127" i="1"/>
  <c r="J91" i="1"/>
  <c r="J278" i="1"/>
  <c r="J166" i="1"/>
  <c r="J134" i="1"/>
  <c r="J495" i="1"/>
  <c r="J473" i="1"/>
  <c r="J877" i="1"/>
  <c r="J425" i="1"/>
  <c r="J665" i="1"/>
  <c r="J881" i="1"/>
  <c r="J285" i="1"/>
  <c r="J441" i="1"/>
  <c r="J553" i="1"/>
  <c r="J697" i="1"/>
  <c r="J893" i="1"/>
  <c r="J925" i="1"/>
  <c r="J961" i="1"/>
  <c r="J993" i="1"/>
  <c r="J1025" i="1"/>
  <c r="J66" i="1"/>
  <c r="J82" i="1"/>
  <c r="J158" i="1"/>
  <c r="J174" i="1"/>
  <c r="J226" i="1"/>
  <c r="J302" i="1"/>
  <c r="J318" i="1"/>
  <c r="J334" i="1"/>
  <c r="J342" i="1"/>
  <c r="J422" i="1"/>
  <c r="J514" i="1"/>
  <c r="J618" i="1"/>
  <c r="J710" i="1"/>
  <c r="J730" i="1"/>
  <c r="J778" i="1"/>
  <c r="J826" i="1"/>
  <c r="J255" i="1"/>
  <c r="J303" i="1"/>
  <c r="J974" i="1"/>
  <c r="J31" i="1"/>
  <c r="J107" i="1"/>
  <c r="J171" i="1"/>
  <c r="J172" i="1"/>
  <c r="J220" i="1"/>
  <c r="J272" i="1"/>
  <c r="J336" i="1"/>
  <c r="J360" i="1"/>
  <c r="J636" i="1"/>
  <c r="J684" i="1"/>
  <c r="J469" i="1"/>
  <c r="J277" i="1"/>
  <c r="J65" i="1"/>
  <c r="J859" i="1"/>
  <c r="J866" i="1"/>
  <c r="J876" i="1"/>
  <c r="J748" i="1"/>
  <c r="J716" i="1"/>
  <c r="J668" i="1"/>
  <c r="J523" i="1"/>
  <c r="J819" i="1"/>
  <c r="J771" i="1"/>
  <c r="J723" i="1"/>
  <c r="J611" i="1"/>
  <c r="J842" i="1"/>
  <c r="J810" i="1"/>
  <c r="J746" i="1"/>
  <c r="J576" i="1"/>
  <c r="J451" i="1"/>
  <c r="J273" i="1"/>
  <c r="J321" i="1"/>
  <c r="J351" i="1"/>
  <c r="J591" i="1"/>
  <c r="J848" i="1"/>
  <c r="J808" i="1"/>
  <c r="J760" i="1"/>
  <c r="J664" i="1"/>
  <c r="J648" i="1"/>
  <c r="J632" i="1"/>
  <c r="J571" i="1"/>
  <c r="J735" i="1"/>
  <c r="J719" i="1"/>
  <c r="J587" i="1"/>
  <c r="J535" i="1"/>
  <c r="J471" i="1"/>
  <c r="J97" i="1"/>
  <c r="J822" i="1"/>
  <c r="J774" i="1"/>
  <c r="J662" i="1"/>
  <c r="J614" i="1"/>
  <c r="J598" i="1"/>
  <c r="J563" i="1"/>
  <c r="J371" i="1"/>
  <c r="J209" i="1"/>
  <c r="J594" i="1"/>
  <c r="J578" i="1"/>
  <c r="J562" i="1"/>
  <c r="J482" i="1"/>
  <c r="J386" i="1"/>
  <c r="J370" i="1"/>
  <c r="J354" i="1"/>
  <c r="J281" i="1"/>
  <c r="J153" i="1"/>
  <c r="J89" i="1"/>
  <c r="J436" i="1"/>
  <c r="J339" i="1"/>
  <c r="J85" i="1"/>
  <c r="J851" i="1"/>
  <c r="J867" i="1"/>
  <c r="J547" i="1"/>
  <c r="J526" i="1"/>
  <c r="J510" i="1"/>
  <c r="J494" i="1"/>
  <c r="J478" i="1"/>
  <c r="J462" i="1"/>
  <c r="J430" i="1"/>
  <c r="J398" i="1"/>
  <c r="J366" i="1"/>
  <c r="J350" i="1"/>
  <c r="J133" i="1"/>
  <c r="J135" i="1"/>
  <c r="J103" i="1"/>
  <c r="J87" i="1"/>
  <c r="J71" i="1"/>
  <c r="J55" i="1"/>
  <c r="J39" i="1"/>
  <c r="J314" i="1"/>
  <c r="J298" i="1"/>
  <c r="J282" i="1"/>
  <c r="J266" i="1"/>
  <c r="J286" i="1"/>
  <c r="J287" i="1"/>
  <c r="J864" i="1"/>
  <c r="J335" i="1"/>
  <c r="J60" i="1"/>
  <c r="J119" i="1"/>
  <c r="J928" i="1"/>
  <c r="J604" i="1"/>
  <c r="J1036" i="1"/>
  <c r="J252" i="1"/>
  <c r="K523" i="1"/>
  <c r="J377" i="1"/>
  <c r="J239" i="1"/>
  <c r="J930" i="1"/>
  <c r="J627" i="1"/>
  <c r="J787" i="1"/>
  <c r="J780" i="1"/>
  <c r="J533" i="1"/>
  <c r="J742" i="1"/>
  <c r="J639" i="1"/>
  <c r="J671" i="1"/>
  <c r="K735" i="1"/>
  <c r="J783" i="1"/>
  <c r="J188" i="1"/>
  <c r="J344" i="1"/>
  <c r="K864" i="1"/>
  <c r="J1008" i="1"/>
  <c r="J185" i="1"/>
  <c r="J182" i="1"/>
  <c r="J694" i="1"/>
  <c r="J838" i="1"/>
  <c r="J207" i="1"/>
  <c r="K351" i="1"/>
  <c r="J507" i="1"/>
  <c r="J607" i="1"/>
  <c r="J1002" i="1"/>
  <c r="J123" i="1"/>
  <c r="K587" i="1"/>
  <c r="J815" i="1"/>
  <c r="J847" i="1"/>
  <c r="K632" i="1"/>
  <c r="K648" i="1"/>
  <c r="J696" i="1"/>
  <c r="K760" i="1"/>
  <c r="K808" i="1"/>
  <c r="J421" i="1"/>
  <c r="K97" i="1"/>
  <c r="J178" i="1"/>
  <c r="J1006" i="1"/>
  <c r="J440" i="1"/>
  <c r="J77" i="1"/>
  <c r="J333" i="1"/>
  <c r="J437" i="1"/>
  <c r="J517" i="1"/>
  <c r="J1024" i="1"/>
  <c r="J755" i="1"/>
  <c r="J666" i="1"/>
  <c r="J142" i="1"/>
  <c r="K591" i="1"/>
  <c r="J187" i="1"/>
  <c r="J44" i="1"/>
  <c r="J205" i="1"/>
  <c r="J389" i="1"/>
  <c r="J485" i="1"/>
  <c r="J565" i="1"/>
  <c r="J976" i="1"/>
  <c r="J944" i="1"/>
  <c r="J638" i="1"/>
  <c r="J6" i="1"/>
  <c r="J966" i="1"/>
  <c r="J549" i="1"/>
  <c r="K734" i="1"/>
  <c r="J102" i="1"/>
  <c r="J522" i="1"/>
  <c r="J537" i="1"/>
  <c r="J54" i="1"/>
  <c r="J95" i="1"/>
  <c r="J833" i="1"/>
  <c r="J404" i="1"/>
  <c r="J414" i="1"/>
  <c r="J560" i="1"/>
  <c r="J905" i="1"/>
  <c r="J1033" i="1"/>
  <c r="J546" i="1"/>
  <c r="K337" i="1"/>
  <c r="J4" i="1"/>
  <c r="K848" i="1"/>
  <c r="K313" i="1"/>
  <c r="J129" i="1"/>
  <c r="J98" i="1"/>
  <c r="J403" i="1"/>
  <c r="J131" i="1"/>
  <c r="J828" i="1"/>
  <c r="J257" i="1"/>
  <c r="J573" i="1"/>
  <c r="J23" i="1"/>
  <c r="J793" i="1"/>
  <c r="K554" i="1"/>
  <c r="K439" i="1"/>
  <c r="K711" i="1"/>
  <c r="J45" i="1"/>
  <c r="K807" i="1"/>
  <c r="K148" i="1"/>
  <c r="J112" i="1"/>
  <c r="J953" i="1"/>
  <c r="K134" i="1"/>
  <c r="J246" i="1"/>
  <c r="K718" i="1"/>
  <c r="J15" i="1"/>
  <c r="K36" i="1"/>
  <c r="J180" i="1"/>
  <c r="K608" i="1"/>
  <c r="J17" i="1"/>
  <c r="J649" i="1"/>
  <c r="K182" i="1"/>
  <c r="J294" i="1"/>
  <c r="K346" i="1"/>
  <c r="K426" i="1"/>
  <c r="J442" i="1"/>
  <c r="K798" i="1"/>
  <c r="J814" i="1"/>
  <c r="K830" i="1"/>
  <c r="J846" i="1"/>
  <c r="K539" i="1"/>
  <c r="J567" i="1"/>
  <c r="J397" i="1"/>
  <c r="J990" i="1"/>
  <c r="K291" i="1"/>
  <c r="K743" i="1"/>
  <c r="K84" i="1"/>
  <c r="K212" i="1"/>
  <c r="J380" i="1"/>
  <c r="J444" i="1"/>
  <c r="J492" i="1"/>
  <c r="K588" i="1"/>
  <c r="K656" i="1"/>
  <c r="K688" i="1"/>
  <c r="J629" i="1"/>
  <c r="J757" i="1"/>
  <c r="J49" i="1"/>
  <c r="J121" i="1"/>
  <c r="J940" i="1"/>
  <c r="K6" i="1"/>
  <c r="K326" i="1"/>
  <c r="K638" i="1"/>
  <c r="J654" i="1"/>
  <c r="K766" i="1"/>
  <c r="J493" i="1"/>
  <c r="J11" i="1"/>
  <c r="K35" i="1"/>
  <c r="K83" i="1"/>
  <c r="K347" i="1"/>
  <c r="J16" i="1"/>
  <c r="J260" i="1"/>
  <c r="K524" i="1"/>
  <c r="K640" i="1"/>
  <c r="J13" i="1"/>
  <c r="J57" i="1"/>
  <c r="J475" i="1"/>
  <c r="K109" i="1"/>
  <c r="J109" i="1"/>
  <c r="J704" i="1"/>
  <c r="K704" i="1"/>
  <c r="K969" i="1"/>
  <c r="J969" i="1"/>
  <c r="J889" i="1"/>
  <c r="J214" i="1"/>
  <c r="J670" i="1"/>
  <c r="J631" i="1"/>
  <c r="K647" i="1"/>
  <c r="J413" i="1"/>
  <c r="J99" i="1"/>
  <c r="J179" i="1"/>
  <c r="J227" i="1"/>
  <c r="K375" i="1"/>
  <c r="J460" i="1"/>
  <c r="J181" i="1"/>
  <c r="K245" i="1"/>
  <c r="K705" i="1"/>
  <c r="J705" i="1"/>
  <c r="J860" i="1"/>
  <c r="K860" i="1"/>
  <c r="J832" i="1"/>
  <c r="K832" i="1"/>
  <c r="K784" i="1"/>
  <c r="J784" i="1"/>
  <c r="J823" i="1"/>
  <c r="K525" i="1"/>
  <c r="J525" i="1"/>
  <c r="K461" i="1"/>
  <c r="J461" i="1"/>
  <c r="J156" i="1"/>
  <c r="J3" i="1"/>
  <c r="J498" i="1"/>
  <c r="J390" i="1"/>
  <c r="K874" i="1"/>
  <c r="J874" i="1"/>
  <c r="J22" i="1"/>
  <c r="J62" i="1"/>
  <c r="J70" i="1"/>
  <c r="J458" i="1"/>
  <c r="J870" i="1"/>
  <c r="J163" i="1"/>
  <c r="J195" i="1"/>
  <c r="J243" i="1"/>
  <c r="J499" i="1"/>
  <c r="K365" i="1"/>
  <c r="K52" i="1"/>
  <c r="J556" i="1"/>
  <c r="J81" i="1"/>
  <c r="J113" i="1"/>
  <c r="J29" i="1"/>
  <c r="J857" i="1"/>
  <c r="J118" i="1"/>
  <c r="J242" i="1"/>
  <c r="K310" i="1"/>
  <c r="J410" i="1"/>
  <c r="K538" i="1"/>
  <c r="J586" i="1"/>
  <c r="J622" i="1"/>
  <c r="J531" i="1"/>
  <c r="K615" i="1"/>
  <c r="K695" i="1"/>
  <c r="J237" i="1"/>
  <c r="J541" i="1"/>
  <c r="J918" i="1"/>
  <c r="J978" i="1"/>
  <c r="K51" i="1"/>
  <c r="K147" i="1"/>
  <c r="K211" i="1"/>
  <c r="K323" i="1"/>
  <c r="K679" i="1"/>
  <c r="K663" i="1"/>
  <c r="J68" i="1"/>
  <c r="J116" i="1"/>
  <c r="K132" i="1"/>
  <c r="K324" i="1"/>
  <c r="K348" i="1"/>
  <c r="J364" i="1"/>
  <c r="K624" i="1"/>
  <c r="J736" i="1"/>
  <c r="J53" i="1"/>
  <c r="K225" i="1"/>
  <c r="J249" i="1"/>
  <c r="J309" i="1"/>
  <c r="K381" i="1"/>
  <c r="J381" i="1"/>
  <c r="J508" i="1"/>
  <c r="K693" i="1"/>
  <c r="J693" i="1"/>
  <c r="K198" i="1"/>
  <c r="K474" i="1"/>
  <c r="K570" i="1"/>
  <c r="K495" i="1"/>
  <c r="K775" i="1"/>
  <c r="J173" i="1"/>
  <c r="J509" i="1"/>
  <c r="J259" i="1"/>
  <c r="J100" i="1"/>
  <c r="J228" i="1"/>
  <c r="J276" i="1"/>
  <c r="J937" i="1"/>
  <c r="J38" i="1"/>
  <c r="K166" i="1"/>
  <c r="J490" i="1"/>
  <c r="K702" i="1"/>
  <c r="J411" i="1"/>
  <c r="K599" i="1"/>
  <c r="J445" i="1"/>
  <c r="J873" i="1"/>
  <c r="J1010" i="1"/>
  <c r="J19" i="1"/>
  <c r="J115" i="1"/>
  <c r="K20" i="1"/>
  <c r="J196" i="1"/>
  <c r="J244" i="1"/>
  <c r="J412" i="1"/>
  <c r="J584" i="1"/>
  <c r="K720" i="1"/>
  <c r="K752" i="1"/>
  <c r="J821" i="1"/>
  <c r="J349" i="1"/>
  <c r="J505" i="1"/>
  <c r="J921" i="1"/>
  <c r="J1001" i="1"/>
  <c r="J86" i="1"/>
  <c r="J230" i="1"/>
  <c r="K278" i="1"/>
  <c r="K506" i="1"/>
  <c r="K686" i="1"/>
  <c r="K823" i="1"/>
  <c r="J301" i="1"/>
  <c r="J477" i="1"/>
  <c r="J557" i="1"/>
  <c r="J922" i="1"/>
  <c r="J950" i="1"/>
  <c r="K67" i="1"/>
  <c r="J155" i="1"/>
  <c r="K307" i="1"/>
  <c r="J407" i="1"/>
  <c r="K839" i="1"/>
  <c r="J879" i="1"/>
  <c r="J292" i="1"/>
  <c r="K340" i="1"/>
  <c r="J428" i="1"/>
  <c r="K476" i="1"/>
  <c r="J572" i="1"/>
  <c r="K800" i="1"/>
  <c r="J117" i="1"/>
  <c r="K185" i="1"/>
  <c r="J600" i="1"/>
  <c r="J643" i="1"/>
  <c r="J762" i="1"/>
  <c r="J446" i="1"/>
  <c r="J362" i="1"/>
  <c r="J698" i="1"/>
  <c r="K866" i="1"/>
  <c r="K819" i="1"/>
  <c r="J878" i="1"/>
  <c r="J906" i="1"/>
  <c r="J359" i="1"/>
  <c r="J620" i="1"/>
  <c r="J652" i="1"/>
  <c r="J700" i="1"/>
  <c r="J812" i="1"/>
  <c r="J844" i="1"/>
  <c r="K49" i="1"/>
  <c r="J956" i="1"/>
  <c r="J633" i="1"/>
  <c r="J450" i="1"/>
  <c r="J361" i="1"/>
  <c r="J625" i="1"/>
  <c r="J356" i="1"/>
  <c r="J1020" i="1"/>
  <c r="J387" i="1"/>
  <c r="J7" i="1"/>
  <c r="J759" i="1"/>
  <c r="J942" i="1"/>
  <c r="J452" i="1"/>
  <c r="J680" i="1"/>
  <c r="J616" i="1"/>
  <c r="J453" i="1"/>
  <c r="J606" i="1"/>
  <c r="J650" i="1"/>
  <c r="J447" i="1"/>
  <c r="J341" i="1"/>
  <c r="J424" i="1"/>
  <c r="J405" i="1"/>
  <c r="J382" i="1"/>
  <c r="J330" i="1"/>
  <c r="J491" i="1"/>
  <c r="J379" i="1"/>
  <c r="J635" i="1"/>
  <c r="J378" i="1"/>
  <c r="J395" i="1"/>
  <c r="J986" i="1"/>
  <c r="J275" i="1"/>
  <c r="J383" i="1"/>
  <c r="J659" i="1"/>
  <c r="J672" i="1"/>
  <c r="J750" i="1"/>
  <c r="J785" i="1"/>
  <c r="J128" i="1"/>
  <c r="J396" i="1"/>
  <c r="J988" i="1"/>
  <c r="J912" i="1"/>
  <c r="J394" i="1"/>
  <c r="J809" i="1"/>
  <c r="J914" i="1"/>
  <c r="J958" i="1"/>
  <c r="J657" i="1"/>
  <c r="J991" i="1"/>
  <c r="J880" i="1"/>
  <c r="J308" i="1"/>
  <c r="J165" i="1"/>
  <c r="J193" i="1"/>
  <c r="J213" i="1"/>
  <c r="J164" i="1"/>
  <c r="J149" i="1"/>
  <c r="J169" i="1"/>
  <c r="K859" i="1"/>
  <c r="J765" i="1"/>
  <c r="K876" i="1"/>
  <c r="J972" i="1"/>
  <c r="J892" i="1"/>
  <c r="J845" i="1"/>
  <c r="J927" i="1"/>
  <c r="J429" i="1"/>
  <c r="J975" i="1"/>
  <c r="J863" i="1"/>
  <c r="K257" i="1"/>
  <c r="J210" i="1"/>
  <c r="J717" i="1"/>
  <c r="K314" i="1"/>
  <c r="K119" i="1"/>
  <c r="J463" i="1"/>
  <c r="J923" i="1"/>
  <c r="K854" i="1"/>
  <c r="J858" i="1"/>
  <c r="J749" i="1"/>
  <c r="J1026" i="1"/>
  <c r="J903" i="1"/>
  <c r="J768" i="1"/>
  <c r="K816" i="1"/>
  <c r="K856" i="1"/>
  <c r="J952" i="1"/>
  <c r="J1016" i="1"/>
  <c r="J151" i="1"/>
  <c r="J817" i="1"/>
  <c r="J999" i="1"/>
  <c r="K983" i="1"/>
  <c r="J888" i="1"/>
  <c r="J871" i="1"/>
  <c r="J739" i="1"/>
  <c r="J689" i="1"/>
  <c r="J951" i="1"/>
  <c r="J904" i="1"/>
  <c r="J968" i="1"/>
  <c r="J37" i="1"/>
  <c r="J681" i="1"/>
  <c r="J90" i="1"/>
  <c r="J994" i="1"/>
  <c r="J641" i="1"/>
  <c r="J721" i="1"/>
  <c r="J959" i="1"/>
  <c r="J1003" i="1"/>
  <c r="J1004" i="1"/>
  <c r="J908" i="1"/>
  <c r="J992" i="1"/>
  <c r="J896" i="1"/>
  <c r="J960" i="1"/>
  <c r="J782" i="1"/>
  <c r="J948" i="1"/>
  <c r="J558" i="1"/>
  <c r="J601" i="1"/>
  <c r="J790" i="1"/>
  <c r="J617" i="1"/>
  <c r="J202" i="1"/>
  <c r="J938" i="1"/>
  <c r="J982" i="1"/>
  <c r="J967" i="1"/>
  <c r="J168" i="1"/>
  <c r="J872" i="1"/>
  <c r="J920" i="1"/>
  <c r="J984" i="1"/>
  <c r="J621" i="1"/>
  <c r="J894" i="1"/>
  <c r="J1029" i="1"/>
  <c r="J26" i="1"/>
  <c r="K350" i="1"/>
  <c r="J834" i="1"/>
  <c r="J487" i="1"/>
  <c r="J685" i="1"/>
  <c r="J813" i="1"/>
  <c r="J1030" i="1"/>
  <c r="J753" i="1"/>
  <c r="J887" i="1"/>
  <c r="J935" i="1"/>
  <c r="J1031" i="1"/>
  <c r="J936" i="1"/>
  <c r="J1000" i="1"/>
  <c r="K414" i="1"/>
  <c r="K510" i="1"/>
  <c r="K7" i="1"/>
  <c r="J289" i="1"/>
  <c r="J247" i="1"/>
  <c r="K71" i="1"/>
  <c r="J545" i="1"/>
  <c r="K462" i="1"/>
  <c r="J770" i="1"/>
  <c r="J579" i="1"/>
  <c r="K363" i="1"/>
  <c r="J363" i="1"/>
  <c r="K177" i="1"/>
  <c r="J177" i="1"/>
  <c r="K763" i="1"/>
  <c r="J763" i="1"/>
  <c r="K715" i="1"/>
  <c r="J715" i="1"/>
  <c r="J667" i="1"/>
  <c r="K667" i="1"/>
  <c r="J603" i="1"/>
  <c r="K603" i="1"/>
  <c r="K33" i="1"/>
  <c r="J33" i="1"/>
  <c r="K658" i="1"/>
  <c r="J658" i="1"/>
  <c r="K317" i="1"/>
  <c r="J317" i="1"/>
  <c r="K561" i="1"/>
  <c r="J561" i="1"/>
  <c r="K513" i="1"/>
  <c r="J513" i="1"/>
  <c r="K401" i="1"/>
  <c r="J401" i="1"/>
  <c r="K201" i="1"/>
  <c r="J201" i="1"/>
  <c r="K9" i="1"/>
  <c r="J9" i="1"/>
  <c r="K528" i="1"/>
  <c r="J528" i="1"/>
  <c r="K480" i="1"/>
  <c r="J480" i="1"/>
  <c r="K432" i="1"/>
  <c r="J432" i="1"/>
  <c r="K384" i="1"/>
  <c r="J384" i="1"/>
  <c r="J261" i="1"/>
  <c r="K261" i="1"/>
  <c r="J69" i="1"/>
  <c r="K69" i="1"/>
  <c r="K328" i="1"/>
  <c r="J328" i="1"/>
  <c r="K280" i="1"/>
  <c r="J280" i="1"/>
  <c r="K120" i="1"/>
  <c r="J120" i="1"/>
  <c r="K72" i="1"/>
  <c r="J72" i="1"/>
  <c r="K24" i="1"/>
  <c r="J24" i="1"/>
  <c r="K263" i="1"/>
  <c r="J263" i="1"/>
  <c r="K167" i="1"/>
  <c r="J167" i="1"/>
  <c r="K677" i="1"/>
  <c r="J677" i="1"/>
  <c r="K869" i="1"/>
  <c r="J869" i="1"/>
  <c r="K901" i="1"/>
  <c r="J901" i="1"/>
  <c r="J10" i="1"/>
  <c r="J74" i="1"/>
  <c r="J186" i="1"/>
  <c r="J250" i="1"/>
  <c r="K298" i="1"/>
  <c r="K398" i="1"/>
  <c r="K446" i="1"/>
  <c r="K494" i="1"/>
  <c r="J642" i="1"/>
  <c r="J754" i="1"/>
  <c r="J818" i="1"/>
  <c r="J279" i="1"/>
  <c r="K55" i="1"/>
  <c r="K103" i="1"/>
  <c r="K635" i="1"/>
  <c r="J61" i="1"/>
  <c r="J232" i="1"/>
  <c r="J853" i="1"/>
  <c r="K133" i="1"/>
  <c r="J265" i="1"/>
  <c r="K740" i="1"/>
  <c r="J740" i="1"/>
  <c r="K843" i="1"/>
  <c r="J843" i="1"/>
  <c r="K795" i="1"/>
  <c r="J795" i="1"/>
  <c r="J747" i="1"/>
  <c r="K747" i="1"/>
  <c r="J651" i="1"/>
  <c r="K651" i="1"/>
  <c r="J619" i="1"/>
  <c r="K619" i="1"/>
  <c r="K519" i="1"/>
  <c r="J519" i="1"/>
  <c r="K722" i="1"/>
  <c r="J722" i="1"/>
  <c r="K145" i="1"/>
  <c r="J145" i="1"/>
  <c r="K253" i="1"/>
  <c r="J253" i="1"/>
  <c r="K189" i="1"/>
  <c r="J189" i="1"/>
  <c r="K593" i="1"/>
  <c r="J593" i="1"/>
  <c r="K529" i="1"/>
  <c r="J529" i="1"/>
  <c r="K465" i="1"/>
  <c r="J465" i="1"/>
  <c r="K417" i="1"/>
  <c r="J417" i="1"/>
  <c r="K385" i="1"/>
  <c r="J385" i="1"/>
  <c r="J544" i="1"/>
  <c r="K544" i="1"/>
  <c r="K496" i="1"/>
  <c r="J496" i="1"/>
  <c r="K464" i="1"/>
  <c r="J464" i="1"/>
  <c r="K400" i="1"/>
  <c r="J400" i="1"/>
  <c r="K352" i="1"/>
  <c r="J352" i="1"/>
  <c r="K197" i="1"/>
  <c r="J197" i="1"/>
  <c r="J744" i="1"/>
  <c r="J1007" i="1"/>
  <c r="J589" i="1"/>
  <c r="J924" i="1"/>
  <c r="J79" i="1"/>
  <c r="J1017" i="1"/>
  <c r="J489" i="1"/>
  <c r="J1019" i="1"/>
  <c r="K5" i="1"/>
  <c r="J645" i="1"/>
  <c r="J5" i="1"/>
  <c r="J789" i="1"/>
  <c r="J1015" i="1"/>
  <c r="J443" i="1"/>
  <c r="J467" i="1"/>
  <c r="J466" i="1"/>
  <c r="J434" i="1"/>
  <c r="K248" i="1"/>
  <c r="J248" i="1"/>
  <c r="K200" i="1"/>
  <c r="J200" i="1"/>
  <c r="K152" i="1"/>
  <c r="J152" i="1"/>
  <c r="K56" i="1"/>
  <c r="J56" i="1"/>
  <c r="K8" i="1"/>
  <c r="J8" i="1"/>
  <c r="K295" i="1"/>
  <c r="J295" i="1"/>
  <c r="K199" i="1"/>
  <c r="J199" i="1"/>
  <c r="K741" i="1"/>
  <c r="J741" i="1"/>
  <c r="K885" i="1"/>
  <c r="J885" i="1"/>
  <c r="K917" i="1"/>
  <c r="J917" i="1"/>
  <c r="J122" i="1"/>
  <c r="K282" i="1"/>
  <c r="J590" i="1"/>
  <c r="J626" i="1"/>
  <c r="J674" i="1"/>
  <c r="J758" i="1"/>
  <c r="J802" i="1"/>
  <c r="J183" i="1"/>
  <c r="J311" i="1"/>
  <c r="J431" i="1"/>
  <c r="K547" i="1"/>
  <c r="J811" i="1"/>
  <c r="J369" i="1"/>
  <c r="K39" i="1"/>
  <c r="K87" i="1"/>
  <c r="K151" i="1"/>
  <c r="J483" i="1"/>
  <c r="J368" i="1"/>
  <c r="J40" i="1"/>
  <c r="J296" i="1"/>
  <c r="K560" i="1"/>
  <c r="K902" i="1"/>
  <c r="J902" i="1"/>
  <c r="J756" i="1"/>
  <c r="K756" i="1"/>
  <c r="K827" i="1"/>
  <c r="J827" i="1"/>
  <c r="K779" i="1"/>
  <c r="J779" i="1"/>
  <c r="K731" i="1"/>
  <c r="J731" i="1"/>
  <c r="K683" i="1"/>
  <c r="J683" i="1"/>
  <c r="J391" i="1"/>
  <c r="K391" i="1"/>
  <c r="K690" i="1"/>
  <c r="J690" i="1"/>
  <c r="J592" i="1"/>
  <c r="K592" i="1"/>
  <c r="K419" i="1"/>
  <c r="J419" i="1"/>
  <c r="K125" i="1"/>
  <c r="J125" i="1"/>
  <c r="K497" i="1"/>
  <c r="J497" i="1"/>
  <c r="K481" i="1"/>
  <c r="J481" i="1"/>
  <c r="K433" i="1"/>
  <c r="J433" i="1"/>
  <c r="J329" i="1"/>
  <c r="K329" i="1"/>
  <c r="J137" i="1"/>
  <c r="K137" i="1"/>
  <c r="K512" i="1"/>
  <c r="J512" i="1"/>
  <c r="K448" i="1"/>
  <c r="J448" i="1"/>
  <c r="K416" i="1"/>
  <c r="J416" i="1"/>
  <c r="K312" i="1"/>
  <c r="J312" i="1"/>
  <c r="K264" i="1"/>
  <c r="J264" i="1"/>
  <c r="K216" i="1"/>
  <c r="J216" i="1"/>
  <c r="K184" i="1"/>
  <c r="J184" i="1"/>
  <c r="K136" i="1"/>
  <c r="J136" i="1"/>
  <c r="K88" i="1"/>
  <c r="J88" i="1"/>
  <c r="K327" i="1"/>
  <c r="J327" i="1"/>
  <c r="K231" i="1"/>
  <c r="J231" i="1"/>
  <c r="K613" i="1"/>
  <c r="J613" i="1"/>
  <c r="K805" i="1"/>
  <c r="J805" i="1"/>
  <c r="K933" i="1"/>
  <c r="J933" i="1"/>
  <c r="K997" i="1"/>
  <c r="J997" i="1"/>
  <c r="J58" i="1"/>
  <c r="J170" i="1"/>
  <c r="J234" i="1"/>
  <c r="K382" i="1"/>
  <c r="K478" i="1"/>
  <c r="J949" i="1"/>
  <c r="J965" i="1"/>
  <c r="J981" i="1"/>
  <c r="J42" i="1"/>
  <c r="J106" i="1"/>
  <c r="J154" i="1"/>
  <c r="J218" i="1"/>
  <c r="K266" i="1"/>
  <c r="K330" i="1"/>
  <c r="K366" i="1"/>
  <c r="K430" i="1"/>
  <c r="K526" i="1"/>
  <c r="J574" i="1"/>
  <c r="J610" i="1"/>
  <c r="J706" i="1"/>
  <c r="J786" i="1"/>
  <c r="J215" i="1"/>
  <c r="J355" i="1"/>
  <c r="J455" i="1"/>
  <c r="J353" i="1"/>
  <c r="K23" i="1"/>
  <c r="K135" i="1"/>
  <c r="K491" i="1"/>
  <c r="J699" i="1"/>
  <c r="J449" i="1"/>
  <c r="J104" i="1"/>
  <c r="J792" i="1"/>
  <c r="J325" i="1"/>
  <c r="K998" i="1"/>
  <c r="J998" i="1"/>
  <c r="J745" i="1"/>
  <c r="J954" i="1"/>
  <c r="J910" i="1"/>
  <c r="J527" i="1"/>
  <c r="K583" i="1"/>
  <c r="J583" i="1"/>
  <c r="J911" i="1"/>
  <c r="J943" i="1"/>
  <c r="J1035" i="1"/>
  <c r="J791" i="1"/>
  <c r="J777" i="1"/>
  <c r="J575" i="1"/>
  <c r="J801" i="1"/>
  <c r="J895" i="1"/>
  <c r="J612" i="1"/>
  <c r="J628" i="1"/>
  <c r="J644" i="1"/>
  <c r="J660" i="1"/>
  <c r="J676" i="1"/>
  <c r="J692" i="1"/>
  <c r="J708" i="1"/>
  <c r="J724" i="1"/>
  <c r="J653" i="1"/>
  <c r="J781" i="1"/>
  <c r="J962" i="1"/>
  <c r="J609" i="1"/>
  <c r="J673" i="1"/>
  <c r="J737" i="1"/>
  <c r="J1023" i="1"/>
  <c r="K321" i="1"/>
  <c r="J726" i="1"/>
  <c r="J637" i="1"/>
  <c r="J675" i="1"/>
  <c r="J707" i="1"/>
  <c r="J955" i="1"/>
  <c r="J1013" i="1"/>
  <c r="J150" i="1"/>
  <c r="J262" i="1"/>
  <c r="J138" i="1"/>
  <c r="J829" i="1"/>
  <c r="J543" i="1"/>
  <c r="J769" i="1"/>
  <c r="J939" i="1"/>
  <c r="J987" i="1"/>
  <c r="J540" i="1"/>
  <c r="J596" i="1"/>
  <c r="J73" i="1"/>
  <c r="J729" i="1"/>
  <c r="J542" i="1"/>
  <c r="J701" i="1"/>
  <c r="J971" i="1"/>
  <c r="J875" i="1"/>
  <c r="J919" i="1"/>
  <c r="J738" i="1"/>
  <c r="J926" i="1"/>
  <c r="J427" i="1"/>
  <c r="J931" i="1"/>
  <c r="J947" i="1"/>
  <c r="J963" i="1"/>
  <c r="J979" i="1"/>
  <c r="J772" i="1"/>
  <c r="J788" i="1"/>
  <c r="J804" i="1"/>
  <c r="J820" i="1"/>
  <c r="J836" i="1"/>
  <c r="J852" i="1"/>
  <c r="J868" i="1"/>
  <c r="J964" i="1"/>
  <c r="J884" i="1"/>
  <c r="J415" i="1"/>
  <c r="J577" i="1"/>
  <c r="J996" i="1"/>
  <c r="J900" i="1"/>
  <c r="J1012" i="1"/>
  <c r="J824" i="1"/>
  <c r="J1028" i="1"/>
  <c r="J916" i="1"/>
  <c r="J985" i="1"/>
  <c r="J883" i="1"/>
  <c r="J899" i="1"/>
  <c r="J915" i="1"/>
  <c r="K65" i="1"/>
  <c r="J727" i="1"/>
  <c r="J761" i="1"/>
  <c r="J941" i="1"/>
  <c r="J479" i="1"/>
  <c r="K851" i="1"/>
  <c r="J886" i="1"/>
  <c r="J399" i="1"/>
  <c r="J555" i="1"/>
  <c r="J703" i="1"/>
  <c r="J605" i="1"/>
  <c r="J669" i="1"/>
  <c r="J733" i="1"/>
  <c r="J797" i="1"/>
  <c r="J1014" i="1"/>
  <c r="J503" i="1"/>
  <c r="K867" i="1"/>
  <c r="J728" i="1"/>
  <c r="J713" i="1"/>
  <c r="J841" i="1"/>
  <c r="J970" i="1"/>
  <c r="J1018" i="1"/>
  <c r="J891" i="1"/>
  <c r="J907" i="1"/>
  <c r="J995" i="1"/>
  <c r="J1011" i="1"/>
  <c r="J1027" i="1"/>
  <c r="K855" i="1"/>
  <c r="J980" i="1"/>
  <c r="J932" i="1"/>
  <c r="B3" i="7" l="1"/>
  <c r="B10" i="7"/>
  <c r="B19" i="7"/>
  <c r="B24" i="7"/>
  <c r="B17" i="7"/>
  <c r="B8" i="7"/>
  <c r="B16" i="7"/>
  <c r="B14" i="7"/>
  <c r="B13" i="7"/>
  <c r="B20" i="7"/>
  <c r="B4" i="7"/>
  <c r="B15" i="7"/>
  <c r="B22" i="7"/>
  <c r="B6" i="7"/>
  <c r="B27" i="7"/>
  <c r="B25" i="7"/>
  <c r="B9" i="7"/>
  <c r="B2" i="7"/>
  <c r="B11" i="7"/>
  <c r="B18" i="7"/>
  <c r="B21" i="7"/>
  <c r="B5" i="7"/>
  <c r="B12" i="7"/>
  <c r="B23" i="7"/>
  <c r="B7" i="7"/>
  <c r="B126" i="7"/>
  <c r="B90" i="7"/>
  <c r="B58" i="7"/>
  <c r="B26" i="7"/>
  <c r="B129" i="7"/>
  <c r="B113" i="7"/>
  <c r="B97" i="7"/>
  <c r="B81" i="7"/>
  <c r="B65" i="7"/>
  <c r="B49" i="7"/>
  <c r="B33" i="7"/>
  <c r="B122" i="7"/>
  <c r="B94" i="7"/>
  <c r="B62" i="7"/>
  <c r="B30" i="7"/>
  <c r="B128" i="7"/>
  <c r="B112" i="7"/>
  <c r="B96" i="7"/>
  <c r="B80" i="7"/>
  <c r="B64" i="7"/>
  <c r="B48" i="7"/>
  <c r="B32" i="7"/>
  <c r="B135" i="7"/>
  <c r="B119" i="7"/>
  <c r="B103" i="7"/>
  <c r="B87" i="7"/>
  <c r="B71" i="7"/>
  <c r="B55" i="7"/>
  <c r="B39" i="7"/>
  <c r="B118" i="7"/>
  <c r="B82" i="7"/>
  <c r="B50" i="7"/>
  <c r="B141" i="7"/>
  <c r="B125" i="7"/>
  <c r="B109" i="7"/>
  <c r="B93" i="7"/>
  <c r="B77" i="7"/>
  <c r="B61" i="7"/>
  <c r="B45" i="7"/>
  <c r="B29" i="7"/>
  <c r="B114" i="7"/>
  <c r="B86" i="7"/>
  <c r="B54" i="7"/>
  <c r="B140" i="7"/>
  <c r="B124" i="7"/>
  <c r="B108" i="7"/>
  <c r="B92" i="7"/>
  <c r="B76" i="7"/>
  <c r="B60" i="7"/>
  <c r="B44" i="7"/>
  <c r="B28" i="7"/>
  <c r="B131" i="7"/>
  <c r="B115" i="7"/>
  <c r="B99" i="7"/>
  <c r="B83" i="7"/>
  <c r="B67" i="7"/>
  <c r="B51" i="7"/>
  <c r="B35" i="7"/>
  <c r="B142" i="7"/>
  <c r="B110" i="7"/>
  <c r="B74" i="7"/>
  <c r="B42" i="7"/>
  <c r="B137" i="7"/>
  <c r="B121" i="7"/>
  <c r="B105" i="7"/>
  <c r="B89" i="7"/>
  <c r="B73" i="7"/>
  <c r="B57" i="7"/>
  <c r="B41" i="7"/>
  <c r="B138" i="7"/>
  <c r="B106" i="7"/>
  <c r="B78" i="7"/>
  <c r="B46" i="7"/>
  <c r="B136" i="7"/>
  <c r="B120" i="7"/>
  <c r="B104" i="7"/>
  <c r="B88" i="7"/>
  <c r="B72" i="7"/>
  <c r="B56" i="7"/>
  <c r="B40" i="7"/>
  <c r="B143" i="7"/>
  <c r="B127" i="7"/>
  <c r="B111" i="7"/>
  <c r="B95" i="7"/>
  <c r="B79" i="7"/>
  <c r="B63" i="7"/>
  <c r="B47" i="7"/>
  <c r="B31" i="7"/>
  <c r="B134" i="7"/>
  <c r="B102" i="7"/>
  <c r="B66" i="7"/>
  <c r="B34" i="7"/>
  <c r="B133" i="7"/>
  <c r="B117" i="7"/>
  <c r="B101" i="7"/>
  <c r="B85" i="7"/>
  <c r="B69" i="7"/>
  <c r="B53" i="7"/>
  <c r="B37" i="7"/>
  <c r="B130" i="7"/>
  <c r="B98" i="7"/>
  <c r="B70" i="7"/>
  <c r="B38" i="7"/>
  <c r="B132" i="7"/>
  <c r="B116" i="7"/>
  <c r="B100" i="7"/>
  <c r="B84" i="7"/>
  <c r="B68" i="7"/>
  <c r="B52" i="7"/>
  <c r="B36" i="7"/>
  <c r="B139" i="7"/>
  <c r="B123" i="7"/>
  <c r="B107" i="7"/>
  <c r="B91" i="7"/>
  <c r="B75" i="7"/>
  <c r="B59" i="7"/>
  <c r="B43" i="7"/>
</calcChain>
</file>

<file path=xl/sharedStrings.xml><?xml version="1.0" encoding="utf-8"?>
<sst xmlns="http://schemas.openxmlformats.org/spreadsheetml/2006/main" count="6136" uniqueCount="1330">
  <si>
    <t>УАЗ-39099</t>
  </si>
  <si>
    <t>в788ех 98</t>
  </si>
  <si>
    <t>Транспорт и логистика</t>
  </si>
  <si>
    <t>1 см.</t>
  </si>
  <si>
    <t>МАВР-486700 на шасси HINO 500</t>
  </si>
  <si>
    <t>а952ра 198</t>
  </si>
  <si>
    <t>сут.</t>
  </si>
  <si>
    <t>ТО-18Б2</t>
  </si>
  <si>
    <t>5239 РН 78</t>
  </si>
  <si>
    <t>SCANIA-FLEXLINE 207</t>
  </si>
  <si>
    <t>В685ЕВ 178</t>
  </si>
  <si>
    <t>А776КУ 198</t>
  </si>
  <si>
    <t>ЦРИП</t>
  </si>
  <si>
    <t>1,5 см.</t>
  </si>
  <si>
    <t>Беларус 82.1 СМ</t>
  </si>
  <si>
    <t>4471 РС 78</t>
  </si>
  <si>
    <t>575094 на шасси КАМАЗ-4308-Н3</t>
  </si>
  <si>
    <t>В721КЕ 178</t>
  </si>
  <si>
    <t>SCANIA P310DB 4X2 MLB K43</t>
  </si>
  <si>
    <t>В605ОА 178</t>
  </si>
  <si>
    <t>4462 рс 78</t>
  </si>
  <si>
    <t>JCB 4CX</t>
  </si>
  <si>
    <t>2294 рс 78</t>
  </si>
  <si>
    <t>FORD TRANSIT</t>
  </si>
  <si>
    <t>В596АА 98</t>
  </si>
  <si>
    <t>4475 РС 78</t>
  </si>
  <si>
    <t>МДСУ 1000-0104</t>
  </si>
  <si>
    <t xml:space="preserve">1905рк 78 </t>
  </si>
  <si>
    <t>Ford Tourneo Connect</t>
  </si>
  <si>
    <t>В034СТ 98</t>
  </si>
  <si>
    <t>83402Т</t>
  </si>
  <si>
    <t>ВА4391 78</t>
  </si>
  <si>
    <t xml:space="preserve">Диз. генерат. установка </t>
  </si>
  <si>
    <t>65032</t>
  </si>
  <si>
    <t>4478 РС 78</t>
  </si>
  <si>
    <t>МАЗ-5337</t>
  </si>
  <si>
    <t>В175КО 98</t>
  </si>
  <si>
    <t>ЭО-4112А1</t>
  </si>
  <si>
    <t>5444 РН 78</t>
  </si>
  <si>
    <t>1907рк 78</t>
  </si>
  <si>
    <t>НЕФАЗ-9334</t>
  </si>
  <si>
    <t>АХ5745 78</t>
  </si>
  <si>
    <t>993930</t>
  </si>
  <si>
    <t>ВА0786 78</t>
  </si>
  <si>
    <t>а611ме 198</t>
  </si>
  <si>
    <t>КамАЗ-4308</t>
  </si>
  <si>
    <t>в040ан 178</t>
  </si>
  <si>
    <t>RENAULT DOKKER</t>
  </si>
  <si>
    <t>е037еу 198</t>
  </si>
  <si>
    <t>КамАЗ 65117-62</t>
  </si>
  <si>
    <t>в306ув 98</t>
  </si>
  <si>
    <t>ГАЗ-САЗ 2505-13</t>
  </si>
  <si>
    <t>в367вв 178</t>
  </si>
  <si>
    <t>Чайка-Сервис 27842С</t>
  </si>
  <si>
    <t>В104ЕО 178</t>
  </si>
  <si>
    <t>Freightliner Cusco Hydro Trencher 5327</t>
  </si>
  <si>
    <t>в176уе 178</t>
  </si>
  <si>
    <t>Ford Focus</t>
  </si>
  <si>
    <t>В058СС 98</t>
  </si>
  <si>
    <t>575094 на шасси КАМАЗ-4308</t>
  </si>
  <si>
    <t>В631АУ 178</t>
  </si>
  <si>
    <t>ТО-28А</t>
  </si>
  <si>
    <t>8048 РМ 78</t>
  </si>
  <si>
    <t>КамАЗ 4308-Н3</t>
  </si>
  <si>
    <t>в108ео 178</t>
  </si>
  <si>
    <t>Агромаш 90ТГ 2007А</t>
  </si>
  <si>
    <t>9137 РХ 78</t>
  </si>
  <si>
    <t>КамАЗ-43255</t>
  </si>
  <si>
    <t>В346АН 178</t>
  </si>
  <si>
    <t>MERCEDES BENZ, JHL CITELINE</t>
  </si>
  <si>
    <t>В996ВМ 98</t>
  </si>
  <si>
    <t>КАМАЗ-65115-D3</t>
  </si>
  <si>
    <t>в569ау 178</t>
  </si>
  <si>
    <t>НЕФАЗ-5299-11-32</t>
  </si>
  <si>
    <t>В692ЕВ 178</t>
  </si>
  <si>
    <t>2038РК 78</t>
  </si>
  <si>
    <t>Е450АА 198</t>
  </si>
  <si>
    <t>Чайка-Сервис 5784PV</t>
  </si>
  <si>
    <t>К205УР 82</t>
  </si>
  <si>
    <t>ГАЗ-2705</t>
  </si>
  <si>
    <t>В324СТ 178</t>
  </si>
  <si>
    <t>В054КО 98</t>
  </si>
  <si>
    <t>4476 РС 78</t>
  </si>
  <si>
    <t>в476ем 178</t>
  </si>
  <si>
    <t>390306 на шасси КАМАЗ-4308</t>
  </si>
  <si>
    <t>в557ху 98</t>
  </si>
  <si>
    <t>КАМАЗ 6520</t>
  </si>
  <si>
    <t>В648ОА 178</t>
  </si>
  <si>
    <t>а823ра 198</t>
  </si>
  <si>
    <t>ГАЗ-221717</t>
  </si>
  <si>
    <t>В628РН 98</t>
  </si>
  <si>
    <t>в706ке 178</t>
  </si>
  <si>
    <t>КАМАЗ-53215</t>
  </si>
  <si>
    <t>в553мо 98</t>
  </si>
  <si>
    <t>В553АУ 178</t>
  </si>
  <si>
    <t>В397ЕО 178</t>
  </si>
  <si>
    <t>2282 РС 78</t>
  </si>
  <si>
    <t>КамАЗ-65115</t>
  </si>
  <si>
    <t>В974ЕС 178</t>
  </si>
  <si>
    <t>В254ВР 98</t>
  </si>
  <si>
    <t>1400410128</t>
  </si>
  <si>
    <t>ЭМС</t>
  </si>
  <si>
    <t>JCB 4CХ SUPER</t>
  </si>
  <si>
    <t>2450 РО 78</t>
  </si>
  <si>
    <t>в323вв 178</t>
  </si>
  <si>
    <t>3610 РС 78</t>
  </si>
  <si>
    <t>4472 РС 78</t>
  </si>
  <si>
    <t>КО-530-01 на шасси КАМАЗ-65115</t>
  </si>
  <si>
    <t>В612РС 178</t>
  </si>
  <si>
    <t>FORD TOURNEO CONNECT</t>
  </si>
  <si>
    <t>В756ТУ 178</t>
  </si>
  <si>
    <t>Б 10М.0111-ЕН</t>
  </si>
  <si>
    <t>6099 РА 78</t>
  </si>
  <si>
    <t>КАМАЗ-646000</t>
  </si>
  <si>
    <t>в389ео 178</t>
  </si>
  <si>
    <t>ВП-05</t>
  </si>
  <si>
    <t>7945 РО 78</t>
  </si>
  <si>
    <t>В304СТ 178</t>
  </si>
  <si>
    <t>КО 829Д на шасси КАМАЗ-53605</t>
  </si>
  <si>
    <t>В903АВ 178</t>
  </si>
  <si>
    <t>В449НО 178</t>
  </si>
  <si>
    <t>КамАЗ 65115-42</t>
  </si>
  <si>
    <t>а323ам 198</t>
  </si>
  <si>
    <t>КАМАЗ-65115</t>
  </si>
  <si>
    <t>в607он 178</t>
  </si>
  <si>
    <t>В332СТ 178</t>
  </si>
  <si>
    <t>00310</t>
  </si>
  <si>
    <t>НЕФАЗ-5299-10-16</t>
  </si>
  <si>
    <t>В259РХ 98</t>
  </si>
  <si>
    <t>КАМАЗ-53229С</t>
  </si>
  <si>
    <t>В251АН 98</t>
  </si>
  <si>
    <t>в931ао 178</t>
  </si>
  <si>
    <t>Mercedes-Benz 2232E1</t>
  </si>
  <si>
    <t>Х833УО 178</t>
  </si>
  <si>
    <t>VOLKSWAGEN 2TRT2 CRAFTER</t>
  </si>
  <si>
    <t>В492ЕМ 178</t>
  </si>
  <si>
    <t>Лаборатория "Телеинспекция"</t>
  </si>
  <si>
    <t>Volkswagen transporter  Т5</t>
  </si>
  <si>
    <t>В068СЕ 98</t>
  </si>
  <si>
    <t>ЛВИ(лаборатория высоковольтных испытаний)</t>
  </si>
  <si>
    <t>ГУП "Водоканал С-Пб"</t>
  </si>
  <si>
    <t>6319-01 на шасси КАМАЗ-65115</t>
  </si>
  <si>
    <t>Н031УУ 178</t>
  </si>
  <si>
    <t>В529ХВ 98</t>
  </si>
  <si>
    <t>В123КК 178</t>
  </si>
  <si>
    <t>в432ав 178</t>
  </si>
  <si>
    <t>В711ТР 98</t>
  </si>
  <si>
    <t>4459 РС 78</t>
  </si>
  <si>
    <t>В393ЕО 178</t>
  </si>
  <si>
    <t>Амкодор 332В</t>
  </si>
  <si>
    <t>1308рв 78</t>
  </si>
  <si>
    <t>КАМАЗ-43114С</t>
  </si>
  <si>
    <t>В410ВВ 98</t>
  </si>
  <si>
    <t>Спецавтобаза №2</t>
  </si>
  <si>
    <t>В968ХТ 98</t>
  </si>
  <si>
    <t>КАМАЗ-65115-50</t>
  </si>
  <si>
    <t>Е981АЕ 198</t>
  </si>
  <si>
    <t>В971АО 178</t>
  </si>
  <si>
    <t>TLB 825-RM</t>
  </si>
  <si>
    <t>3540 РК 78</t>
  </si>
  <si>
    <t>в427ав 178</t>
  </si>
  <si>
    <t>0059ру 78</t>
  </si>
  <si>
    <t>КАМАЗ-55111С</t>
  </si>
  <si>
    <t>В408ВВ 98</t>
  </si>
  <si>
    <t>JCB 426Z</t>
  </si>
  <si>
    <t>4644ру 78</t>
  </si>
  <si>
    <t>FICO 2KDE- SCANIA P420CB</t>
  </si>
  <si>
    <t>В096МТ 178</t>
  </si>
  <si>
    <t>в328вв 178</t>
  </si>
  <si>
    <t>в991ес 178</t>
  </si>
  <si>
    <t>в632ау 178</t>
  </si>
  <si>
    <t>н163уу 178</t>
  </si>
  <si>
    <t>ГАЗ-САЗ-2507-01</t>
  </si>
  <si>
    <t>Е544ВР 198</t>
  </si>
  <si>
    <t>MERCEDES-BENZ-SPRINTER616</t>
  </si>
  <si>
    <t>В632КС 98</t>
  </si>
  <si>
    <t>2284 РС 78</t>
  </si>
  <si>
    <t>4467 рс 78</t>
  </si>
  <si>
    <t>391106 на шасси КАМАЗ-65117</t>
  </si>
  <si>
    <t>В918ЕС 178</t>
  </si>
  <si>
    <t>ГАЗ-2217</t>
  </si>
  <si>
    <t>В689НР 98</t>
  </si>
  <si>
    <t>в573ау 178</t>
  </si>
  <si>
    <t>В422ХТ 98</t>
  </si>
  <si>
    <t>ГАЗ-22171</t>
  </si>
  <si>
    <t>В568РК 98</t>
  </si>
  <si>
    <t>е458вр 198</t>
  </si>
  <si>
    <t>ЕРЦ</t>
  </si>
  <si>
    <t>3602 РС 78</t>
  </si>
  <si>
    <t>в973ао 178</t>
  </si>
  <si>
    <t>В172АВ 178</t>
  </si>
  <si>
    <t>FORD TOURNEO CONNECTд</t>
  </si>
  <si>
    <t>В287ЕН 178</t>
  </si>
  <si>
    <t>1908РК 78</t>
  </si>
  <si>
    <t>476361 на шасси MAN</t>
  </si>
  <si>
    <t>Н374УУ 178</t>
  </si>
  <si>
    <t>е765ен 198</t>
  </si>
  <si>
    <t>КамАЗ-53605</t>
  </si>
  <si>
    <t>В990ХТ 98</t>
  </si>
  <si>
    <t>х194ун 178</t>
  </si>
  <si>
    <t>В331ВВ 178</t>
  </si>
  <si>
    <t>в251ен 178</t>
  </si>
  <si>
    <t>в965хт 98</t>
  </si>
  <si>
    <t>в685рс 178</t>
  </si>
  <si>
    <t>Компрессор</t>
  </si>
  <si>
    <t>Primax 650</t>
  </si>
  <si>
    <t>1412701</t>
  </si>
  <si>
    <t>Насосная станция</t>
  </si>
  <si>
    <t>В708КЕ 178</t>
  </si>
  <si>
    <t>В538ХВ 98</t>
  </si>
  <si>
    <t>В418ЕМ 98</t>
  </si>
  <si>
    <t>В805ВН 98</t>
  </si>
  <si>
    <t>КАМАЗ-532150</t>
  </si>
  <si>
    <t>в432вв 98</t>
  </si>
  <si>
    <t>КАВЗ 4235-31</t>
  </si>
  <si>
    <t>В407ХТ 98</t>
  </si>
  <si>
    <t>845415</t>
  </si>
  <si>
    <t>ва7727 78</t>
  </si>
  <si>
    <t>В665ЕВ 178</t>
  </si>
  <si>
    <t>в353вв 178</t>
  </si>
  <si>
    <t>ГАЗ-330232</t>
  </si>
  <si>
    <t>В463МА 98</t>
  </si>
  <si>
    <t>В527ХВ 98</t>
  </si>
  <si>
    <t>Медико-санитарная часть</t>
  </si>
  <si>
    <t>В334ВВ 178</t>
  </si>
  <si>
    <t>В584АУ 178</t>
  </si>
  <si>
    <t>В061СС 98</t>
  </si>
  <si>
    <t>в332вв 178</t>
  </si>
  <si>
    <t>3420 РК 78</t>
  </si>
  <si>
    <t>В041АН 178</t>
  </si>
  <si>
    <t>3531 рк 78</t>
  </si>
  <si>
    <t>3543 РК 78</t>
  </si>
  <si>
    <t>JCB 3CX</t>
  </si>
  <si>
    <t>3612 рс 78</t>
  </si>
  <si>
    <t>В086МУ 178</t>
  </si>
  <si>
    <t>В633АУ 178</t>
  </si>
  <si>
    <t>В379ЕК 178</t>
  </si>
  <si>
    <t>ва7587 78</t>
  </si>
  <si>
    <t>5</t>
  </si>
  <si>
    <t>ва8027 78</t>
  </si>
  <si>
    <t>ва7590 78</t>
  </si>
  <si>
    <t>4461 рс 78</t>
  </si>
  <si>
    <t>в076ке 98</t>
  </si>
  <si>
    <t>КамАЗ-65115-62</t>
  </si>
  <si>
    <t>В021НК 178</t>
  </si>
  <si>
    <t>в431ав 178</t>
  </si>
  <si>
    <t>2291 рс 78</t>
  </si>
  <si>
    <t>в155ав 178</t>
  </si>
  <si>
    <t>в927са 98</t>
  </si>
  <si>
    <t>В012АЕ 178</t>
  </si>
  <si>
    <t>В785ХК 78</t>
  </si>
  <si>
    <t>476394 на шасси Volkswagen Crafter</t>
  </si>
  <si>
    <t>в687он 178</t>
  </si>
  <si>
    <t>В539ХВ 98</t>
  </si>
  <si>
    <t>В686ЕВ 178</t>
  </si>
  <si>
    <t>Чайка-Сервис27845В</t>
  </si>
  <si>
    <t>А558ЕО 198</t>
  </si>
  <si>
    <t>а301ам 198</t>
  </si>
  <si>
    <t>SCANIA Р114GB</t>
  </si>
  <si>
    <t>В245ТТ 78</t>
  </si>
  <si>
    <t>в972ао 178</t>
  </si>
  <si>
    <t>В759ХВ 98</t>
  </si>
  <si>
    <t>14-1938</t>
  </si>
  <si>
    <t>1400410125</t>
  </si>
  <si>
    <t>1400410127</t>
  </si>
  <si>
    <t>ТО-18Б3.3</t>
  </si>
  <si>
    <t>1149 РЕ 78</t>
  </si>
  <si>
    <t>х779уо 178</t>
  </si>
  <si>
    <t>в055ау 98</t>
  </si>
  <si>
    <t>в781хк 78</t>
  </si>
  <si>
    <t>в305ув 98</t>
  </si>
  <si>
    <t>А317ТС 198</t>
  </si>
  <si>
    <t>в013ае 178</t>
  </si>
  <si>
    <t>х209ун 178</t>
  </si>
  <si>
    <t>В506ХУ 78</t>
  </si>
  <si>
    <t>в541хв 98</t>
  </si>
  <si>
    <t>в254ен 178</t>
  </si>
  <si>
    <t>ГАЗ-331043</t>
  </si>
  <si>
    <t>В499ХА 98</t>
  </si>
  <si>
    <t>В629АУ 178</t>
  </si>
  <si>
    <t>3608 РС 78</t>
  </si>
  <si>
    <t>В631РК 178</t>
  </si>
  <si>
    <t>В228ТО 178</t>
  </si>
  <si>
    <t>в631оа 178</t>
  </si>
  <si>
    <t>в572ау 178</t>
  </si>
  <si>
    <t>В342КМ 98</t>
  </si>
  <si>
    <t>ГАЗ-3302</t>
  </si>
  <si>
    <t>в406хт 98</t>
  </si>
  <si>
    <t>в424хт 98</t>
  </si>
  <si>
    <t>в218ас 178</t>
  </si>
  <si>
    <t>в350ан 178</t>
  </si>
  <si>
    <t>КАМАЗ-65115-65</t>
  </si>
  <si>
    <t>В046АМ 98</t>
  </si>
  <si>
    <t>КАМАЗ 6520-61</t>
  </si>
  <si>
    <t>В258СР 98</t>
  </si>
  <si>
    <t>КАМАЗ-5460-63</t>
  </si>
  <si>
    <t>В585АУ 178</t>
  </si>
  <si>
    <t>В664ОА 178</t>
  </si>
  <si>
    <t>HIGER KLQ6129 Q</t>
  </si>
  <si>
    <t>В208ТО 178</t>
  </si>
  <si>
    <t>в598ру 98</t>
  </si>
  <si>
    <t>в330ев 98</t>
  </si>
  <si>
    <t>в174ав 178</t>
  </si>
  <si>
    <t>КамАЗ 65115-62</t>
  </si>
  <si>
    <t>в804аа 178</t>
  </si>
  <si>
    <t>в530хв 98</t>
  </si>
  <si>
    <t>Спецавтобаза №1</t>
  </si>
  <si>
    <t>27842V на шасси ГАЗ-331043</t>
  </si>
  <si>
    <t>В906АВ 178</t>
  </si>
  <si>
    <t>в521хв 98</t>
  </si>
  <si>
    <t>В914АМ 178</t>
  </si>
  <si>
    <t>В327ВВ 178</t>
  </si>
  <si>
    <t>В994АН 178</t>
  </si>
  <si>
    <t>В055КО 98</t>
  </si>
  <si>
    <t>В622ОА 178</t>
  </si>
  <si>
    <t>а592ео 198</t>
  </si>
  <si>
    <t>В468МА 98</t>
  </si>
  <si>
    <t>КамАЗ 65115-32</t>
  </si>
  <si>
    <t>К208УР 82</t>
  </si>
  <si>
    <t>В396ВВ 178</t>
  </si>
  <si>
    <t>в068хн 98</t>
  </si>
  <si>
    <t>3544 рк 78</t>
  </si>
  <si>
    <t>СЗАП-9915</t>
  </si>
  <si>
    <t>АУ9821 78</t>
  </si>
  <si>
    <t>АУ9817 78</t>
  </si>
  <si>
    <t>АУ9822 78</t>
  </si>
  <si>
    <t>ЧМЗАП-99064</t>
  </si>
  <si>
    <t>ВМ4840 78</t>
  </si>
  <si>
    <t>СЗАП 9915 963454</t>
  </si>
  <si>
    <t>ау 9711 78</t>
  </si>
  <si>
    <t>ау 9713 78</t>
  </si>
  <si>
    <t>ау 9712 78</t>
  </si>
  <si>
    <t>б/м Купава 813280</t>
  </si>
  <si>
    <t>ау 2871 78</t>
  </si>
  <si>
    <t>9939оа</t>
  </si>
  <si>
    <t>ас 7939 78</t>
  </si>
  <si>
    <t>ПТ-2000</t>
  </si>
  <si>
    <t>8703 РМ 78</t>
  </si>
  <si>
    <t>СЗАП 93282</t>
  </si>
  <si>
    <t>ан 2012 78</t>
  </si>
  <si>
    <t>МЗСА-817701</t>
  </si>
  <si>
    <t>ао1180 78</t>
  </si>
  <si>
    <t>ва7600 78</t>
  </si>
  <si>
    <t>11</t>
  </si>
  <si>
    <t>ва7592 78</t>
  </si>
  <si>
    <t>ва7588 78</t>
  </si>
  <si>
    <t>ВА4392 78</t>
  </si>
  <si>
    <t>ва7728 78</t>
  </si>
  <si>
    <t>8</t>
  </si>
  <si>
    <t>ва8028 78</t>
  </si>
  <si>
    <t>9</t>
  </si>
  <si>
    <t>ва7729 78</t>
  </si>
  <si>
    <t>7</t>
  </si>
  <si>
    <t>ва7589 78</t>
  </si>
  <si>
    <t>Hyster J1.6XNLWB</t>
  </si>
  <si>
    <t>7573рс 78</t>
  </si>
  <si>
    <t>Universal HDD UNI 60*70</t>
  </si>
  <si>
    <t>7767рс 78</t>
  </si>
  <si>
    <t>7766рс 78</t>
  </si>
  <si>
    <t>ва7591 78</t>
  </si>
  <si>
    <t>ва7593 78</t>
  </si>
  <si>
    <t>ва4397 78</t>
  </si>
  <si>
    <t>ва7586 78</t>
  </si>
  <si>
    <t>6</t>
  </si>
  <si>
    <t>ва8026 78</t>
  </si>
  <si>
    <t>ЭП-2020-37-4,5</t>
  </si>
  <si>
    <t>5681 рт 78</t>
  </si>
  <si>
    <t>1-21</t>
  </si>
  <si>
    <t>2-21</t>
  </si>
  <si>
    <t>3-21</t>
  </si>
  <si>
    <t>4-21</t>
  </si>
  <si>
    <t>ТКМ-620-03</t>
  </si>
  <si>
    <t>5-21</t>
  </si>
  <si>
    <t>КамАЗ-65117</t>
  </si>
  <si>
    <t>6-21</t>
  </si>
  <si>
    <t>7-21</t>
  </si>
  <si>
    <t>ГАЗель NEXT</t>
  </si>
  <si>
    <t>8-21</t>
  </si>
  <si>
    <t>7574рс 78</t>
  </si>
  <si>
    <t>22278E на базе Ford Transit</t>
  </si>
  <si>
    <t>1</t>
  </si>
  <si>
    <t>2</t>
  </si>
  <si>
    <t>3</t>
  </si>
  <si>
    <t>4</t>
  </si>
  <si>
    <t>Б10.М.0111-1Е</t>
  </si>
  <si>
    <t>К207УР 82</t>
  </si>
  <si>
    <t>К204УР 82</t>
  </si>
  <si>
    <t>К206УР 82</t>
  </si>
  <si>
    <t>1098 РО 78</t>
  </si>
  <si>
    <t>STEAMRATOR MHT-700</t>
  </si>
  <si>
    <t>7342рс 78</t>
  </si>
  <si>
    <t>Парогенератор</t>
  </si>
  <si>
    <t>971302(без марки)</t>
  </si>
  <si>
    <t>АТ6407 78</t>
  </si>
  <si>
    <t>В391ЕО 178</t>
  </si>
  <si>
    <t>VOLVO FH12-4*2T</t>
  </si>
  <si>
    <t>В623ОА 178</t>
  </si>
  <si>
    <t>АП-41015</t>
  </si>
  <si>
    <t>5344 РН 78</t>
  </si>
  <si>
    <t>В017НК 178</t>
  </si>
  <si>
    <t>В648УМ 178</t>
  </si>
  <si>
    <t>В520МО 98</t>
  </si>
  <si>
    <t>В518МО 98</t>
  </si>
  <si>
    <t>65025</t>
  </si>
  <si>
    <t>В392ЕО 178</t>
  </si>
  <si>
    <t>SCHMITZ S01</t>
  </si>
  <si>
    <t>АМ8079 78</t>
  </si>
  <si>
    <t>НЕФАЗ-5299-10-17</t>
  </si>
  <si>
    <t>АУ 131 78</t>
  </si>
  <si>
    <t>ГАЗ-33041</t>
  </si>
  <si>
    <t>В370СР 98</t>
  </si>
  <si>
    <t>В390ЕО 178</t>
  </si>
  <si>
    <t>SCANIA P94DBX2LB300 JHL FLEXLINE 207</t>
  </si>
  <si>
    <t>В964ТМ 78</t>
  </si>
  <si>
    <t>МАЗ-163М-02</t>
  </si>
  <si>
    <t>В492МК 98</t>
  </si>
  <si>
    <t>МАЗ-163Ж-02</t>
  </si>
  <si>
    <t>В491МК 98</t>
  </si>
  <si>
    <t>В494МК 98</t>
  </si>
  <si>
    <t>В493МК 98</t>
  </si>
  <si>
    <t>В892КН 98</t>
  </si>
  <si>
    <t>В270ЕН 178</t>
  </si>
  <si>
    <t>КАМАЗ-53229</t>
  </si>
  <si>
    <t>В623МК 98</t>
  </si>
  <si>
    <t>КАМАЗ-43118 МАВР-58860G</t>
  </si>
  <si>
    <t>В364НМ 98</t>
  </si>
  <si>
    <t>В398ЕО 178</t>
  </si>
  <si>
    <t>В984ТР 78</t>
  </si>
  <si>
    <t>В394ЕО 178</t>
  </si>
  <si>
    <t>В664ТМ 78</t>
  </si>
  <si>
    <t>В603ОА 178</t>
  </si>
  <si>
    <t>В271ЕН 178</t>
  </si>
  <si>
    <t>SCANIA P124GB 6Х4NZ400K43</t>
  </si>
  <si>
    <t>В635УМ 178</t>
  </si>
  <si>
    <t>2292 рс 78</t>
  </si>
  <si>
    <t>В304ТТ 78</t>
  </si>
  <si>
    <t>В341ТЕ 78</t>
  </si>
  <si>
    <t>7689рс 78</t>
  </si>
  <si>
    <t>В286ТТ 78</t>
  </si>
  <si>
    <t>В290ТТ 78</t>
  </si>
  <si>
    <t>В307ТТ 78</t>
  </si>
  <si>
    <t>В716АК 98</t>
  </si>
  <si>
    <t>В309ТТ 78</t>
  </si>
  <si>
    <t>Volkswagen</t>
  </si>
  <si>
    <t>В220ТО 178</t>
  </si>
  <si>
    <t>В371ЕО 178</t>
  </si>
  <si>
    <t>7688рс 78</t>
  </si>
  <si>
    <t>SCANIA Р420</t>
  </si>
  <si>
    <t>В249ЕВ 98</t>
  </si>
  <si>
    <t>в778еа 178</t>
  </si>
  <si>
    <t>В289ТТ 78</t>
  </si>
  <si>
    <t>7690рс 78</t>
  </si>
  <si>
    <t>В151АР 178</t>
  </si>
  <si>
    <t>971302</t>
  </si>
  <si>
    <t>АТ 4311 78</t>
  </si>
  <si>
    <t>971303</t>
  </si>
  <si>
    <t>АТ 8252 78</t>
  </si>
  <si>
    <t>В631КС 98</t>
  </si>
  <si>
    <t>В688ЕВ 178</t>
  </si>
  <si>
    <t>В566РУ 98</t>
  </si>
  <si>
    <t>В616СО 178</t>
  </si>
  <si>
    <t>ГАЗ-331041</t>
  </si>
  <si>
    <t>В315ТА 98</t>
  </si>
  <si>
    <t>В612ТО 98</t>
  </si>
  <si>
    <t>В406ТР 98</t>
  </si>
  <si>
    <t>в662ев 178</t>
  </si>
  <si>
    <t>Avant 760</t>
  </si>
  <si>
    <t>3721 РО 78</t>
  </si>
  <si>
    <t>Valtra 6350Н</t>
  </si>
  <si>
    <t>3720 РО 78</t>
  </si>
  <si>
    <t>Avant 528</t>
  </si>
  <si>
    <t>3722 РО 78</t>
  </si>
  <si>
    <t>в760еа 178</t>
  </si>
  <si>
    <t>Т25А</t>
  </si>
  <si>
    <t>1558 РО 78</t>
  </si>
  <si>
    <t>В687ЕВ 178</t>
  </si>
  <si>
    <t>в681оа 178</t>
  </si>
  <si>
    <t>В114ВН 98</t>
  </si>
  <si>
    <t>В128КО 98</t>
  </si>
  <si>
    <t>MULTICAR М26</t>
  </si>
  <si>
    <t>В018ОМ 98</t>
  </si>
  <si>
    <t>В611ТО 98</t>
  </si>
  <si>
    <t>В761ЕА 178</t>
  </si>
  <si>
    <t>В072АР 98</t>
  </si>
  <si>
    <t>8704 РМ 78</t>
  </si>
  <si>
    <t>47446К на шасси КАМАЗ-4308-0001010</t>
  </si>
  <si>
    <t>В721ОМ 98</t>
  </si>
  <si>
    <t>МАЗ-5336А3</t>
  </si>
  <si>
    <t>в303ув 98</t>
  </si>
  <si>
    <t>В113ВН 98</t>
  </si>
  <si>
    <t>В112ВН 98</t>
  </si>
  <si>
    <t>в132кк 178</t>
  </si>
  <si>
    <t>Беларус 82.1</t>
  </si>
  <si>
    <t>3182 ро 78</t>
  </si>
  <si>
    <t>6074 ре 78</t>
  </si>
  <si>
    <t xml:space="preserve">1255 РО 78 </t>
  </si>
  <si>
    <t>в133кк 178</t>
  </si>
  <si>
    <t>В344КХ 98</t>
  </si>
  <si>
    <t>В215ТУ 98</t>
  </si>
  <si>
    <t>В806КР 98</t>
  </si>
  <si>
    <t>в468ем 178</t>
  </si>
  <si>
    <t>КАМАЗ-65115С</t>
  </si>
  <si>
    <t>В872СЕ 78</t>
  </si>
  <si>
    <t>В678ОА 178</t>
  </si>
  <si>
    <t>В425ХТ 98</t>
  </si>
  <si>
    <t>в421хт 98</t>
  </si>
  <si>
    <t>7685РС 78</t>
  </si>
  <si>
    <t>2293 рс 78</t>
  </si>
  <si>
    <t>2290 рс 78</t>
  </si>
  <si>
    <t>2288 рс 78</t>
  </si>
  <si>
    <t>в967хт 98</t>
  </si>
  <si>
    <t>в966хт 98</t>
  </si>
  <si>
    <t>В904АВ 178</t>
  </si>
  <si>
    <t>в039ан 178</t>
  </si>
  <si>
    <t>в038ан 178</t>
  </si>
  <si>
    <t>В042АН 178</t>
  </si>
  <si>
    <t>В608ОН 178</t>
  </si>
  <si>
    <t>в961хт 98</t>
  </si>
  <si>
    <t>В408ХТ 98</t>
  </si>
  <si>
    <t>В766ХВ 98</t>
  </si>
  <si>
    <t>КамАЗ 53605-62</t>
  </si>
  <si>
    <t>в757хв 98</t>
  </si>
  <si>
    <t>КамАЗ 43118-10</t>
  </si>
  <si>
    <t>в754хв 98</t>
  </si>
  <si>
    <t>В992ХТ 98</t>
  </si>
  <si>
    <t>В357ОМ 178</t>
  </si>
  <si>
    <t>JCB 1CX</t>
  </si>
  <si>
    <t>2021 РС 78</t>
  </si>
  <si>
    <t>В495ХА 98</t>
  </si>
  <si>
    <t>7687рс 78</t>
  </si>
  <si>
    <t>В417ХТ 98</t>
  </si>
  <si>
    <t>3911К6 на шасси КАМАЗ-65117</t>
  </si>
  <si>
    <t>в227хр 98</t>
  </si>
  <si>
    <t>В414ХТ 98</t>
  </si>
  <si>
    <t>7686рс 78</t>
  </si>
  <si>
    <t>В496ХА 98</t>
  </si>
  <si>
    <t>2287 РС 78</t>
  </si>
  <si>
    <t>2280 РС 78</t>
  </si>
  <si>
    <t>2285 РС 78</t>
  </si>
  <si>
    <t>2281 РС 78</t>
  </si>
  <si>
    <t>2283 РС 78</t>
  </si>
  <si>
    <t>2286 РС 78</t>
  </si>
  <si>
    <t>3609 РС 78</t>
  </si>
  <si>
    <t>в232ас 178</t>
  </si>
  <si>
    <t>в214ас 178</t>
  </si>
  <si>
    <t>Н032УУ 178</t>
  </si>
  <si>
    <t>в015ае 178</t>
  </si>
  <si>
    <t>в551ау 178</t>
  </si>
  <si>
    <t>в932ао 178</t>
  </si>
  <si>
    <t>В936АО 178</t>
  </si>
  <si>
    <t>В428ОК 178</t>
  </si>
  <si>
    <t>В031АН 178</t>
  </si>
  <si>
    <t>в992ан 178</t>
  </si>
  <si>
    <t>JS 160 LC</t>
  </si>
  <si>
    <t>3247 РС 78</t>
  </si>
  <si>
    <t>В418ХТ 98</t>
  </si>
  <si>
    <t>В106АВ 178</t>
  </si>
  <si>
    <t>в975ао 178</t>
  </si>
  <si>
    <t>в650оа 178</t>
  </si>
  <si>
    <t>3599 РС 78</t>
  </si>
  <si>
    <t>3603 рс 78</t>
  </si>
  <si>
    <t>3601 рс 78</t>
  </si>
  <si>
    <t>3615 рс 78</t>
  </si>
  <si>
    <t>в571ау 178</t>
  </si>
  <si>
    <t>В606ОН 178</t>
  </si>
  <si>
    <t>в570ау 178</t>
  </si>
  <si>
    <t>В583АУ 178</t>
  </si>
  <si>
    <t>в006ае 178</t>
  </si>
  <si>
    <t>В430АВ 178</t>
  </si>
  <si>
    <t>МСК-16 на шасси КАМАЗ-65115</t>
  </si>
  <si>
    <t>В752ХВ 98</t>
  </si>
  <si>
    <t>7343рс 78</t>
  </si>
  <si>
    <t>В558ХУ 98</t>
  </si>
  <si>
    <t>в595ау 178</t>
  </si>
  <si>
    <t>в596ау 178</t>
  </si>
  <si>
    <t>В635АУ 178</t>
  </si>
  <si>
    <t>В634АУ 178</t>
  </si>
  <si>
    <t>3598 РС 78</t>
  </si>
  <si>
    <t>в649оа 178</t>
  </si>
  <si>
    <t>В944АО 178</t>
  </si>
  <si>
    <t>в989ан 178</t>
  </si>
  <si>
    <t>в990ан 178</t>
  </si>
  <si>
    <t>В067ХН 98</t>
  </si>
  <si>
    <t>В594АУ 178</t>
  </si>
  <si>
    <t>в235ас 178</t>
  </si>
  <si>
    <t>В234АС 178</t>
  </si>
  <si>
    <t>4633 рс 78</t>
  </si>
  <si>
    <t>в496ем 178</t>
  </si>
  <si>
    <t>В397ВВ 178</t>
  </si>
  <si>
    <t>В398ВВ 178</t>
  </si>
  <si>
    <t>в354вв 178</t>
  </si>
  <si>
    <t>в971ес 178</t>
  </si>
  <si>
    <t>В667РС 178</t>
  </si>
  <si>
    <t>В351ВВ 178</t>
  </si>
  <si>
    <t>В330ВВ 178</t>
  </si>
  <si>
    <t>в426ав 178</t>
  </si>
  <si>
    <t>JCB JS160LC</t>
  </si>
  <si>
    <t>4060 РС 78</t>
  </si>
  <si>
    <t>в435ав 178</t>
  </si>
  <si>
    <t>в433ав 178</t>
  </si>
  <si>
    <t>В630АУ 178</t>
  </si>
  <si>
    <t>В217АС 178</t>
  </si>
  <si>
    <t>в216ас 178</t>
  </si>
  <si>
    <t>в196ве 178</t>
  </si>
  <si>
    <t>65650</t>
  </si>
  <si>
    <t>КамАЗ-43253</t>
  </si>
  <si>
    <t>в599ру 178</t>
  </si>
  <si>
    <t>в493ем 178</t>
  </si>
  <si>
    <t>В918АМ 178</t>
  </si>
  <si>
    <t>3596 РС 78</t>
  </si>
  <si>
    <t>3597 РС 78</t>
  </si>
  <si>
    <t>В625ОН 178</t>
  </si>
  <si>
    <t>КО-507А-2 на шасси КАМАЗ-65115</t>
  </si>
  <si>
    <t>В611РС 178</t>
  </si>
  <si>
    <t>В375ЕК 178</t>
  </si>
  <si>
    <t>в372ек 178</t>
  </si>
  <si>
    <t>1413 рк 78</t>
  </si>
  <si>
    <t>4465 рс 78</t>
  </si>
  <si>
    <t>4468 рс 78</t>
  </si>
  <si>
    <t>в963хт 98</t>
  </si>
  <si>
    <t>в935ам 178</t>
  </si>
  <si>
    <t>В939АО 178</t>
  </si>
  <si>
    <t>в936ам 178</t>
  </si>
  <si>
    <t>Н029УУ 178</t>
  </si>
  <si>
    <t>в928ао 178</t>
  </si>
  <si>
    <t>в933ао 178</t>
  </si>
  <si>
    <t>в929ао 178</t>
  </si>
  <si>
    <t>4477 РС 78</t>
  </si>
  <si>
    <t>В682ОА 178</t>
  </si>
  <si>
    <t>В694ЕТ 178</t>
  </si>
  <si>
    <t>В693ЕТ 178</t>
  </si>
  <si>
    <t>99422А</t>
  </si>
  <si>
    <t>ва8029 78</t>
  </si>
  <si>
    <t>ва8030 78</t>
  </si>
  <si>
    <t>ва7583 78</t>
  </si>
  <si>
    <t>В103ЕО 178</t>
  </si>
  <si>
    <t>В124КК 178</t>
  </si>
  <si>
    <t>В329ВВ 178</t>
  </si>
  <si>
    <t>в638ау 178</t>
  </si>
  <si>
    <t>в975ес 178</t>
  </si>
  <si>
    <t>КО-510к на шасси КАМАЗ-43253</t>
  </si>
  <si>
    <t>В136АР 178</t>
  </si>
  <si>
    <t>В326ВВ 178</t>
  </si>
  <si>
    <t>в636ау 178</t>
  </si>
  <si>
    <t>В915ЕС 178</t>
  </si>
  <si>
    <t>В917ЕС 178</t>
  </si>
  <si>
    <t>В916ЕС 178</t>
  </si>
  <si>
    <t>В373ЕК 178</t>
  </si>
  <si>
    <t>МПУ-3 на шасси КАМАЗ-43255</t>
  </si>
  <si>
    <t>В138АР 178</t>
  </si>
  <si>
    <t>В688РС 178</t>
  </si>
  <si>
    <t>В369ВВ 178</t>
  </si>
  <si>
    <t>7163 РС 78</t>
  </si>
  <si>
    <t>7166 РС 78</t>
  </si>
  <si>
    <t>286824</t>
  </si>
  <si>
    <t>В150КК 178</t>
  </si>
  <si>
    <t>В116ЕН 178</t>
  </si>
  <si>
    <t>в722ке 178</t>
  </si>
  <si>
    <t>7160рс 78</t>
  </si>
  <si>
    <t>7159рс 78</t>
  </si>
  <si>
    <t>4457 РС 78</t>
  </si>
  <si>
    <t>7165рс 78</t>
  </si>
  <si>
    <t>в288ен 178</t>
  </si>
  <si>
    <t>SCHMITZ-CARGOBULL SCS 24/L</t>
  </si>
  <si>
    <t>АХ4108 78</t>
  </si>
  <si>
    <t>в290ен 178</t>
  </si>
  <si>
    <t>В613УМ 178</t>
  </si>
  <si>
    <t>4466 рс 78</t>
  </si>
  <si>
    <t>в106ео 178</t>
  </si>
  <si>
    <t>в107ео 178</t>
  </si>
  <si>
    <t>6673рс 78</t>
  </si>
  <si>
    <t>6672рс 78</t>
  </si>
  <si>
    <t>в702ке 178</t>
  </si>
  <si>
    <t>в125ен 178</t>
  </si>
  <si>
    <t>7162рс 78</t>
  </si>
  <si>
    <t>В285ЕН 178</t>
  </si>
  <si>
    <t>В139АР 178</t>
  </si>
  <si>
    <t>В082ВС 178</t>
  </si>
  <si>
    <t>В081ВС 178</t>
  </si>
  <si>
    <t>MAN-JHL CITYFLEX 204</t>
  </si>
  <si>
    <t>В646ЕА 178</t>
  </si>
  <si>
    <t>В498ЕА 178</t>
  </si>
  <si>
    <t>В499ЕА 178</t>
  </si>
  <si>
    <t>В661ЕВ 178</t>
  </si>
  <si>
    <t>в744во 178</t>
  </si>
  <si>
    <t>В743ВО 178</t>
  </si>
  <si>
    <t>В676ЕА 178</t>
  </si>
  <si>
    <t>ва7585 78</t>
  </si>
  <si>
    <t>ва7584 78</t>
  </si>
  <si>
    <t>7345РС 78</t>
  </si>
  <si>
    <t>в022нк 178</t>
  </si>
  <si>
    <t>в020нк 178</t>
  </si>
  <si>
    <t>в019нк 178</t>
  </si>
  <si>
    <t>Парогенератор МНС-700</t>
  </si>
  <si>
    <t>инв.2735</t>
  </si>
  <si>
    <t>7344рс 78</t>
  </si>
  <si>
    <t>7346рс 78</t>
  </si>
  <si>
    <t>в442ок 178</t>
  </si>
  <si>
    <t>В120ЕО 178</t>
  </si>
  <si>
    <t>Astec DD2024</t>
  </si>
  <si>
    <t>7255рс 78</t>
  </si>
  <si>
    <t>Hyster H2.5.FT</t>
  </si>
  <si>
    <t>7576рс 78</t>
  </si>
  <si>
    <t>Hyster H3.0TX-98</t>
  </si>
  <si>
    <t>7572рс 78</t>
  </si>
  <si>
    <t>В023НК 178</t>
  </si>
  <si>
    <t>7158 РС 78</t>
  </si>
  <si>
    <t>7339 РС 78</t>
  </si>
  <si>
    <t>В190МТ 178</t>
  </si>
  <si>
    <t>н371уу 178</t>
  </si>
  <si>
    <t>в656он 178</t>
  </si>
  <si>
    <t>в653он 178</t>
  </si>
  <si>
    <t>0386 РУ 78</t>
  </si>
  <si>
    <t>MERCEDES BENZ SPRINTER 211 CDI</t>
  </si>
  <si>
    <t>Н367УУ 178</t>
  </si>
  <si>
    <t>Передвижная метрологическая лаборатория</t>
  </si>
  <si>
    <t>в689он 178</t>
  </si>
  <si>
    <t>в685он 178</t>
  </si>
  <si>
    <t>В692ОН 178</t>
  </si>
  <si>
    <t>7341 РС 78</t>
  </si>
  <si>
    <t>В189МТ 178</t>
  </si>
  <si>
    <t>Н369УУ 178</t>
  </si>
  <si>
    <t>В654ОН 178</t>
  </si>
  <si>
    <t>в655он 178</t>
  </si>
  <si>
    <t>КамАЗ-53605 авт. 6551-02</t>
  </si>
  <si>
    <t>в955оо 178</t>
  </si>
  <si>
    <t>в954оо 178</t>
  </si>
  <si>
    <t>Н370УУ 178</t>
  </si>
  <si>
    <t>В688ОН 178</t>
  </si>
  <si>
    <t>В686ОН 178</t>
  </si>
  <si>
    <t>В658ОН 178</t>
  </si>
  <si>
    <t>JCB JS160W</t>
  </si>
  <si>
    <t>4643ру 78</t>
  </si>
  <si>
    <t>Powerscreen Metrotrak</t>
  </si>
  <si>
    <t>4645ру 78</t>
  </si>
  <si>
    <t>4646ру 78</t>
  </si>
  <si>
    <t>3613 рс 78</t>
  </si>
  <si>
    <t>3604 РС 78</t>
  </si>
  <si>
    <t>3607 РС 78</t>
  </si>
  <si>
    <t>В915АМ 178</t>
  </si>
  <si>
    <t>в469ем 178</t>
  </si>
  <si>
    <t>в622со 178</t>
  </si>
  <si>
    <t>00311</t>
  </si>
  <si>
    <t>00313</t>
  </si>
  <si>
    <t>1412702</t>
  </si>
  <si>
    <t>Primax 1300</t>
  </si>
  <si>
    <t>1412703</t>
  </si>
  <si>
    <t>1412704</t>
  </si>
  <si>
    <t>В259СР 98</t>
  </si>
  <si>
    <t>в368вв 178</t>
  </si>
  <si>
    <t>В175АВ 178</t>
  </si>
  <si>
    <t>E170W</t>
  </si>
  <si>
    <t>9899 РА 78</t>
  </si>
  <si>
    <t>9898 РА 78</t>
  </si>
  <si>
    <t>КамАЗ 5490-S5</t>
  </si>
  <si>
    <t>х251ун 178</t>
  </si>
  <si>
    <t>Х280УН 178</t>
  </si>
  <si>
    <t>х282ун 178</t>
  </si>
  <si>
    <t>2289 РС 78</t>
  </si>
  <si>
    <t>В395ЕО 178</t>
  </si>
  <si>
    <t>ПАЗ-4230-02</t>
  </si>
  <si>
    <t>ВЕ 786 78</t>
  </si>
  <si>
    <t>В993АН 178</t>
  </si>
  <si>
    <t>В677ОА 178</t>
  </si>
  <si>
    <t>В360ВВ 178</t>
  </si>
  <si>
    <t>Н372УУ 178</t>
  </si>
  <si>
    <t>в690он 178</t>
  </si>
  <si>
    <t>ЕК-18</t>
  </si>
  <si>
    <t>5112 РН 78</t>
  </si>
  <si>
    <t>в652он 178</t>
  </si>
  <si>
    <t>В657ОН 178</t>
  </si>
  <si>
    <t>В419ХТ 98</t>
  </si>
  <si>
    <t>3600 рс 78</t>
  </si>
  <si>
    <t>3616 РС 78</t>
  </si>
  <si>
    <t>В556ХУ 98</t>
  </si>
  <si>
    <t>41015</t>
  </si>
  <si>
    <t>5343 РН 78</t>
  </si>
  <si>
    <t>ТХ300</t>
  </si>
  <si>
    <t>3603 рк 78</t>
  </si>
  <si>
    <t>Экскаватор гусеничный</t>
  </si>
  <si>
    <t>3421 РК 78</t>
  </si>
  <si>
    <t>3988 рк 78</t>
  </si>
  <si>
    <t>а537ме 198</t>
  </si>
  <si>
    <t>А513МЕ 198</t>
  </si>
  <si>
    <t>А554МЕ 198</t>
  </si>
  <si>
    <t>а583ме 198</t>
  </si>
  <si>
    <t>в691он 178</t>
  </si>
  <si>
    <t>инв.2734</t>
  </si>
  <si>
    <t>4642ру 78</t>
  </si>
  <si>
    <t>В745АР 178</t>
  </si>
  <si>
    <t>х529ук 178</t>
  </si>
  <si>
    <t>В495ЕМ 178</t>
  </si>
  <si>
    <t>в916ам 178</t>
  </si>
  <si>
    <t>VOLVO FH 4X2</t>
  </si>
  <si>
    <t>В104ЕН 178</t>
  </si>
  <si>
    <t>в434ав 178</t>
  </si>
  <si>
    <t>в441ок 178</t>
  </si>
  <si>
    <t>7683рс 78</t>
  </si>
  <si>
    <t>В105ЕО 178</t>
  </si>
  <si>
    <t>В325ВВ 178</t>
  </si>
  <si>
    <t>В659ОН 178</t>
  </si>
  <si>
    <t>ЗИЛ-5301ЕО</t>
  </si>
  <si>
    <t>В911ХУ 78</t>
  </si>
  <si>
    <t>в940ес 178</t>
  </si>
  <si>
    <t>VOLKSWAGEN 2EKE2 CRAFTER</t>
  </si>
  <si>
    <t>В608УМ 178</t>
  </si>
  <si>
    <t>х153ун 178</t>
  </si>
  <si>
    <t>х219ун 178</t>
  </si>
  <si>
    <t>3611 рс 78</t>
  </si>
  <si>
    <t>3614 рс 78</t>
  </si>
  <si>
    <t>Volkswagen 2KN Caddy</t>
  </si>
  <si>
    <t>В642ЕА 178</t>
  </si>
  <si>
    <t>В644ЕА 178</t>
  </si>
  <si>
    <t>4938-0000010-01 КАМАЗ-43114-15</t>
  </si>
  <si>
    <t>в710оо 178</t>
  </si>
  <si>
    <t>В847АТ 178</t>
  </si>
  <si>
    <t>Х293УН 178</t>
  </si>
  <si>
    <t>А815АЕ 198</t>
  </si>
  <si>
    <t>В359ВВ 178</t>
  </si>
  <si>
    <t>в930ао 178</t>
  </si>
  <si>
    <t>ТО-28</t>
  </si>
  <si>
    <t>5109 РН 78</t>
  </si>
  <si>
    <t>3533 рк 78</t>
  </si>
  <si>
    <t>3534 рк 78</t>
  </si>
  <si>
    <t>3545 рк 78</t>
  </si>
  <si>
    <t>3546 рк 78</t>
  </si>
  <si>
    <t>3547 рк 78</t>
  </si>
  <si>
    <t>В709КЕ 178</t>
  </si>
  <si>
    <t>н373уу 178</t>
  </si>
  <si>
    <t>4473 РС 78</t>
  </si>
  <si>
    <t>4469 РС 78</t>
  </si>
  <si>
    <t>в395вв 178</t>
  </si>
  <si>
    <t>х234ун 178</t>
  </si>
  <si>
    <t>х534ук 178</t>
  </si>
  <si>
    <t>А821АЕ 198</t>
  </si>
  <si>
    <t>А854АЕ 198</t>
  </si>
  <si>
    <t>А862АЕ 198</t>
  </si>
  <si>
    <t>А868АЕ 198</t>
  </si>
  <si>
    <t>в260ен 178</t>
  </si>
  <si>
    <t>а491ео 198</t>
  </si>
  <si>
    <t>а565ео 198</t>
  </si>
  <si>
    <t>а569ео 198</t>
  </si>
  <si>
    <t>а570ео 198</t>
  </si>
  <si>
    <t>а666ем 198</t>
  </si>
  <si>
    <t>А555ЕО 198</t>
  </si>
  <si>
    <t>КамАЗ 43118-10, б/м 67310В</t>
  </si>
  <si>
    <t>В945РМ 98</t>
  </si>
  <si>
    <t>В647ЕА 178</t>
  </si>
  <si>
    <t>А877АЕ 198</t>
  </si>
  <si>
    <t>А879АЕ 198</t>
  </si>
  <si>
    <t>А889АЕ 198</t>
  </si>
  <si>
    <t>А897АЕ 198</t>
  </si>
  <si>
    <t>а899ае 198</t>
  </si>
  <si>
    <t>HIGER KLQ6928Q</t>
  </si>
  <si>
    <t>В211ТО 178</t>
  </si>
  <si>
    <t>В210ТО 178</t>
  </si>
  <si>
    <t>В205ТО 178</t>
  </si>
  <si>
    <t>В207ТО 178</t>
  </si>
  <si>
    <t>В206ТО 178</t>
  </si>
  <si>
    <t>В209ТО 178</t>
  </si>
  <si>
    <t>В768ВС 178</t>
  </si>
  <si>
    <t>СКАНИА К114ЕВ4Х2 IRIZAR CENTURI</t>
  </si>
  <si>
    <t>АУ 141 78</t>
  </si>
  <si>
    <t>В644УМ 178</t>
  </si>
  <si>
    <t>х528ук 178</t>
  </si>
  <si>
    <t>х530ук 178</t>
  </si>
  <si>
    <t>х531ук 178</t>
  </si>
  <si>
    <t>х532ук 178</t>
  </si>
  <si>
    <t>х533ук 178</t>
  </si>
  <si>
    <t>В443ОК 178</t>
  </si>
  <si>
    <t>В691ЕВ 178</t>
  </si>
  <si>
    <t>В684ЕВ 178</t>
  </si>
  <si>
    <t>в014ае 178</t>
  </si>
  <si>
    <t>В687ТТ 98</t>
  </si>
  <si>
    <t>В489МК 98</t>
  </si>
  <si>
    <t>2037РК 78</t>
  </si>
  <si>
    <t>В637АУ 178</t>
  </si>
  <si>
    <t>Волжанин 52701</t>
  </si>
  <si>
    <t>В710КС 98</t>
  </si>
  <si>
    <t>БГМ-1</t>
  </si>
  <si>
    <t>2145 РЕ 78</t>
  </si>
  <si>
    <t>а521ео 198</t>
  </si>
  <si>
    <t>а535ео 198</t>
  </si>
  <si>
    <t>в352вв 178</t>
  </si>
  <si>
    <t>Н384УУ 178</t>
  </si>
  <si>
    <t>в399вв 178</t>
  </si>
  <si>
    <t>х535ук 178</t>
  </si>
  <si>
    <t>1534рк 78</t>
  </si>
  <si>
    <t>1539рк 78</t>
  </si>
  <si>
    <t>1540РК 78</t>
  </si>
  <si>
    <t>E200C</t>
  </si>
  <si>
    <t>1536РК 78</t>
  </si>
  <si>
    <t>в969хт 98</t>
  </si>
  <si>
    <t>в973ес 178</t>
  </si>
  <si>
    <t>а348ам 198</t>
  </si>
  <si>
    <t>2354рк 78</t>
  </si>
  <si>
    <t>А823АЕ 198</t>
  </si>
  <si>
    <t>А472ЕО 198</t>
  </si>
  <si>
    <t>3424 рк 78</t>
  </si>
  <si>
    <t>а566ео 198</t>
  </si>
  <si>
    <t>а898ае 198</t>
  </si>
  <si>
    <t>а881ра 198</t>
  </si>
  <si>
    <t>в213ас 178</t>
  </si>
  <si>
    <t>в233ас 178</t>
  </si>
  <si>
    <t>ва4396 78</t>
  </si>
  <si>
    <t>E240C</t>
  </si>
  <si>
    <t>1538РК 78</t>
  </si>
  <si>
    <t>х713уо 178</t>
  </si>
  <si>
    <t>Х759УО 178</t>
  </si>
  <si>
    <t>3606 РС 78</t>
  </si>
  <si>
    <t>н381уу 178</t>
  </si>
  <si>
    <t>В428АВ 178</t>
  </si>
  <si>
    <t>А700ЕМ 198</t>
  </si>
  <si>
    <t>Invariant 286130</t>
  </si>
  <si>
    <t>у038ха 178</t>
  </si>
  <si>
    <t>Х920НН 178</t>
  </si>
  <si>
    <t>Х922НН 178</t>
  </si>
  <si>
    <t>х805уо 178</t>
  </si>
  <si>
    <t>х813уо 178</t>
  </si>
  <si>
    <t>х819уо 178</t>
  </si>
  <si>
    <t>х843уо 178</t>
  </si>
  <si>
    <t>Х854УО 178</t>
  </si>
  <si>
    <t>1537РК 78</t>
  </si>
  <si>
    <t>х809уо 178</t>
  </si>
  <si>
    <t>ВО7894 78</t>
  </si>
  <si>
    <t>во7897 78</t>
  </si>
  <si>
    <t>ВО7895 78</t>
  </si>
  <si>
    <t>А608ЕМ 198</t>
  </si>
  <si>
    <t>А699ЕМ 198</t>
  </si>
  <si>
    <t>3422 РК 78</t>
  </si>
  <si>
    <t>А479ЕО 198</t>
  </si>
  <si>
    <t>А540ЕО 198</t>
  </si>
  <si>
    <t>ва7582 78</t>
  </si>
  <si>
    <t>а755ку 198</t>
  </si>
  <si>
    <t>а791ку 198</t>
  </si>
  <si>
    <t>а761ку 198</t>
  </si>
  <si>
    <t>в762хв 98</t>
  </si>
  <si>
    <t>в801ат 178</t>
  </si>
  <si>
    <t>7575рс 78</t>
  </si>
  <si>
    <t>1535рк 78</t>
  </si>
  <si>
    <t>в378ек 178</t>
  </si>
  <si>
    <t>3423 рк 78</t>
  </si>
  <si>
    <t>3536 РК 78</t>
  </si>
  <si>
    <t>3538 РК 78</t>
  </si>
  <si>
    <t>3529 рк 78</t>
  </si>
  <si>
    <t>3541 РК 78</t>
  </si>
  <si>
    <t>3542 РК 78</t>
  </si>
  <si>
    <t>3530 рк 78</t>
  </si>
  <si>
    <t>А867АЕ 198</t>
  </si>
  <si>
    <t>а551ме 198</t>
  </si>
  <si>
    <t>а989ра 198</t>
  </si>
  <si>
    <t>65667</t>
  </si>
  <si>
    <t>А772КУ 198</t>
  </si>
  <si>
    <t>А826РА 198</t>
  </si>
  <si>
    <t>А878РА 198</t>
  </si>
  <si>
    <t>3537 РК  78</t>
  </si>
  <si>
    <t>А963РА 198</t>
  </si>
  <si>
    <t>В206ХР 98</t>
  </si>
  <si>
    <t>В494ХА 98</t>
  </si>
  <si>
    <t>В907АВ 178</t>
  </si>
  <si>
    <t>В080ВС 178</t>
  </si>
  <si>
    <t>В611ОЕ 178</t>
  </si>
  <si>
    <t>в621рс 178</t>
  </si>
  <si>
    <t>Н380УУ 178</t>
  </si>
  <si>
    <t>FIAT DUCATO</t>
  </si>
  <si>
    <t>В095ОМ 98</t>
  </si>
  <si>
    <t>3548 РК 78</t>
  </si>
  <si>
    <t>3602 РК 78</t>
  </si>
  <si>
    <t>а744ку 198</t>
  </si>
  <si>
    <t>а771ку 198</t>
  </si>
  <si>
    <t>Н368УУ 178</t>
  </si>
  <si>
    <t>В374ЕК 178</t>
  </si>
  <si>
    <t>В710ТР 98</t>
  </si>
  <si>
    <t>в964хт 98</t>
  </si>
  <si>
    <t>в991ан 178</t>
  </si>
  <si>
    <t>В018НК 178</t>
  </si>
  <si>
    <t>4641ру 78</t>
  </si>
  <si>
    <t>В692ЕТ 178</t>
  </si>
  <si>
    <t>В610ОЕ 178</t>
  </si>
  <si>
    <t>в215ас 178</t>
  </si>
  <si>
    <t>1906рк 78</t>
  </si>
  <si>
    <t>а799ку 198</t>
  </si>
  <si>
    <t>А767КУ 198</t>
  </si>
  <si>
    <t>3535 рк 78</t>
  </si>
  <si>
    <t>КАМАЗ-65115-L4</t>
  </si>
  <si>
    <t>А415ЕО 198</t>
  </si>
  <si>
    <t>А808НВ 198</t>
  </si>
  <si>
    <t>а170нв 198</t>
  </si>
  <si>
    <t>а218нв 198</t>
  </si>
  <si>
    <t>а622ме 198</t>
  </si>
  <si>
    <t>Е932АЕ 198</t>
  </si>
  <si>
    <t>Е854АЕ 198</t>
  </si>
  <si>
    <t>Е931АЕ 198</t>
  </si>
  <si>
    <t>Е957АЕ 198</t>
  </si>
  <si>
    <t>Е970АЕ 198</t>
  </si>
  <si>
    <t>А384СР 198</t>
  </si>
  <si>
    <t>А408СР 198</t>
  </si>
  <si>
    <t>1400410210</t>
  </si>
  <si>
    <t>е523вр 198</t>
  </si>
  <si>
    <t>е550вр 198</t>
  </si>
  <si>
    <t>3539 РК 78</t>
  </si>
  <si>
    <t>Capcombi 950CL на шасси Isuzu</t>
  </si>
  <si>
    <t>В231ЕК 198</t>
  </si>
  <si>
    <t>В257ЕК 198</t>
  </si>
  <si>
    <t>В415КМ 198</t>
  </si>
  <si>
    <t>В929ВТ 198</t>
  </si>
  <si>
    <t>Capcombi 2600CL на шасси Mercedes</t>
  </si>
  <si>
    <t>В267ЕК 198</t>
  </si>
  <si>
    <t>В283ЕК 198</t>
  </si>
  <si>
    <t>а764ку 198</t>
  </si>
  <si>
    <t>22091-0000010-05</t>
  </si>
  <si>
    <t>в276хк 198</t>
  </si>
  <si>
    <t>00308</t>
  </si>
  <si>
    <t>Амкодор 451А</t>
  </si>
  <si>
    <t>1307рв 78</t>
  </si>
  <si>
    <t>Автопогрузчик</t>
  </si>
  <si>
    <t>Т-11.02КБР-1</t>
  </si>
  <si>
    <t>1496рв 78</t>
  </si>
  <si>
    <t>ГАЗ-C41R13</t>
  </si>
  <si>
    <t>О232УХ 47</t>
  </si>
  <si>
    <t>Е279АХ 198</t>
  </si>
  <si>
    <t>Е496ВР 198</t>
  </si>
  <si>
    <t>Е438ВР 198</t>
  </si>
  <si>
    <t>Е502ВР 198</t>
  </si>
  <si>
    <t>Е551ВР 198</t>
  </si>
  <si>
    <t>1400410209</t>
  </si>
  <si>
    <t>Т708968</t>
  </si>
  <si>
    <t>1400410126</t>
  </si>
  <si>
    <t>1400410191</t>
  </si>
  <si>
    <t>18093</t>
  </si>
  <si>
    <t>Capelotto Capbora 1800</t>
  </si>
  <si>
    <t>А138ТР 198</t>
  </si>
  <si>
    <t>В087МУ 178</t>
  </si>
  <si>
    <t>Е553ВР 198</t>
  </si>
  <si>
    <t>е537вр 198</t>
  </si>
  <si>
    <t>А927ОХ 198</t>
  </si>
  <si>
    <t>в175уе 178</t>
  </si>
  <si>
    <t>3532 рк 78</t>
  </si>
  <si>
    <t>во7896 78</t>
  </si>
  <si>
    <t>а296ск 198</t>
  </si>
  <si>
    <t>а309ск 198</t>
  </si>
  <si>
    <t>а381ск 198</t>
  </si>
  <si>
    <t>а402ср 198</t>
  </si>
  <si>
    <t>а424ср 198</t>
  </si>
  <si>
    <t>а681рх 198</t>
  </si>
  <si>
    <t>Capelotto Capbora 3200</t>
  </si>
  <si>
    <t>а639рх 198</t>
  </si>
  <si>
    <t>F22706</t>
  </si>
  <si>
    <t>в192хк 198</t>
  </si>
  <si>
    <t>2353РК 78</t>
  </si>
  <si>
    <t>в666рс 178</t>
  </si>
  <si>
    <t>е880АЕ 198</t>
  </si>
  <si>
    <t>КАМАЗ-53605-А5</t>
  </si>
  <si>
    <t>Е965АЕ 198</t>
  </si>
  <si>
    <t>В343КМ 98</t>
  </si>
  <si>
    <t>в350км 98</t>
  </si>
  <si>
    <t>в347км 98</t>
  </si>
  <si>
    <t>в344км 98</t>
  </si>
  <si>
    <t>В346КМ 98</t>
  </si>
  <si>
    <t>В627ОА 178</t>
  </si>
  <si>
    <t>ГАЗ-330273</t>
  </si>
  <si>
    <t>В419ВВ 98</t>
  </si>
  <si>
    <t>В679ОА 178</t>
  </si>
  <si>
    <t>В417ЕМ 98</t>
  </si>
  <si>
    <t>В814КН 98</t>
  </si>
  <si>
    <t>в629оа 178</t>
  </si>
  <si>
    <t>в054ау 98</t>
  </si>
  <si>
    <t>В041АУ 98</t>
  </si>
  <si>
    <t>В630ОА 178</t>
  </si>
  <si>
    <t>в058ау 98</t>
  </si>
  <si>
    <t>в037ау 98</t>
  </si>
  <si>
    <t>ПАЗ-320540</t>
  </si>
  <si>
    <t>В494ВВ 98</t>
  </si>
  <si>
    <t>В633ОА 178</t>
  </si>
  <si>
    <t>В331ЕВ 98</t>
  </si>
  <si>
    <t>в081ке 98</t>
  </si>
  <si>
    <t>в083ке 98</t>
  </si>
  <si>
    <t>В539ВВ 98</t>
  </si>
  <si>
    <t>в147тк 178</t>
  </si>
  <si>
    <t>в687оа 178</t>
  </si>
  <si>
    <t>в082ке 98</t>
  </si>
  <si>
    <t>В084КЕ 98</t>
  </si>
  <si>
    <t>В612РН 98</t>
  </si>
  <si>
    <t>В075КЕ 98</t>
  </si>
  <si>
    <t>В464МА 98</t>
  </si>
  <si>
    <t>ГАЗ-3221</t>
  </si>
  <si>
    <t>В328ЕВ 98</t>
  </si>
  <si>
    <t>В538ВВ 98</t>
  </si>
  <si>
    <t>В559РУ 98</t>
  </si>
  <si>
    <t>В560РУ 98</t>
  </si>
  <si>
    <t>в461хв 78</t>
  </si>
  <si>
    <t>В044ХО 78</t>
  </si>
  <si>
    <t>В051АР 98</t>
  </si>
  <si>
    <t>в695оа 178</t>
  </si>
  <si>
    <t>В106АУ 98</t>
  </si>
  <si>
    <t>ГАЗ-32213</t>
  </si>
  <si>
    <t>В549ТР 78</t>
  </si>
  <si>
    <t>в056ко 98</t>
  </si>
  <si>
    <t>В253ВР 98</t>
  </si>
  <si>
    <t>в536хв 98</t>
  </si>
  <si>
    <t>в518хв 98</t>
  </si>
  <si>
    <t>В627РН 98</t>
  </si>
  <si>
    <t>ГАЗ-2752</t>
  </si>
  <si>
    <t>В781ЕХ 98</t>
  </si>
  <si>
    <t>Метрологигеский центр</t>
  </si>
  <si>
    <t>в526хв 98</t>
  </si>
  <si>
    <t>в520хв 98</t>
  </si>
  <si>
    <t>в605он 178</t>
  </si>
  <si>
    <t>в523хв 98</t>
  </si>
  <si>
    <t>в517хв 98</t>
  </si>
  <si>
    <t>в405хт 98</t>
  </si>
  <si>
    <t>В534ХВ 98</t>
  </si>
  <si>
    <t>в542хв 98</t>
  </si>
  <si>
    <t>В546ХВ 98</t>
  </si>
  <si>
    <t>в528хв 98</t>
  </si>
  <si>
    <t>в543хв 98</t>
  </si>
  <si>
    <t>В548ХВ 98</t>
  </si>
  <si>
    <t>В947АО 178</t>
  </si>
  <si>
    <t>в948ао 178</t>
  </si>
  <si>
    <t>В525ХВ 98</t>
  </si>
  <si>
    <t>В403ХТ 98</t>
  </si>
  <si>
    <t>В127АВ 178</t>
  </si>
  <si>
    <t>в313ст 178</t>
  </si>
  <si>
    <t>в146ав 178</t>
  </si>
  <si>
    <t>в126уе 178</t>
  </si>
  <si>
    <t>В104АВ 178</t>
  </si>
  <si>
    <t>В308СТ 178</t>
  </si>
  <si>
    <t>В307СТ 178</t>
  </si>
  <si>
    <t>В943АО 178</t>
  </si>
  <si>
    <t>В312СТ 178</t>
  </si>
  <si>
    <t>В148АВ 178</t>
  </si>
  <si>
    <t>В149АВ 178</t>
  </si>
  <si>
    <t>в117ав 178</t>
  </si>
  <si>
    <t>в949ао 178</t>
  </si>
  <si>
    <t>В318СТ 178</t>
  </si>
  <si>
    <t>В946АО 178</t>
  </si>
  <si>
    <t>В954АО 178</t>
  </si>
  <si>
    <t>В128АВ 178</t>
  </si>
  <si>
    <t>В310СТ 178</t>
  </si>
  <si>
    <t>в116ав 178</t>
  </si>
  <si>
    <t>В118АВ 178</t>
  </si>
  <si>
    <t>В120АВ 178</t>
  </si>
  <si>
    <t>в150ав 178</t>
  </si>
  <si>
    <t>в152ав 178</t>
  </si>
  <si>
    <t>В634ОА 178</t>
  </si>
  <si>
    <t>В632ОА 178</t>
  </si>
  <si>
    <t>в628оа 178</t>
  </si>
  <si>
    <t>ГАЗ-32214</t>
  </si>
  <si>
    <t>В331СР 98</t>
  </si>
  <si>
    <t>В458ХВ 78</t>
  </si>
  <si>
    <t>в124ав 178</t>
  </si>
  <si>
    <t>в153ав 178</t>
  </si>
  <si>
    <t>в442хх 78</t>
  </si>
  <si>
    <t>В114АВ 178</t>
  </si>
  <si>
    <t>в325ст 178</t>
  </si>
  <si>
    <t>в319ст 178</t>
  </si>
  <si>
    <t>в303ст 178</t>
  </si>
  <si>
    <t>В950АО 178</t>
  </si>
  <si>
    <t>в516хв 98</t>
  </si>
  <si>
    <t>в524хв 98</t>
  </si>
  <si>
    <t>в145ав 178</t>
  </si>
  <si>
    <t>в522хв 98</t>
  </si>
  <si>
    <t>В635ОА 178</t>
  </si>
  <si>
    <t>В637ОА 178</t>
  </si>
  <si>
    <t>В039АУ 98</t>
  </si>
  <si>
    <t>В057КО 98</t>
  </si>
  <si>
    <t>В080КЕ 98</t>
  </si>
  <si>
    <t>в348км 98</t>
  </si>
  <si>
    <t>В066АР 98</t>
  </si>
  <si>
    <t>в143ав 178</t>
  </si>
  <si>
    <t>В108АВ 178</t>
  </si>
  <si>
    <t>В123АВ 178</t>
  </si>
  <si>
    <t>В314СТ 178</t>
  </si>
  <si>
    <t>в329ев 98</t>
  </si>
  <si>
    <t>в154ав 178</t>
  </si>
  <si>
    <t>В404ХТ 98</t>
  </si>
  <si>
    <t>В519ХВ 98</t>
  </si>
  <si>
    <t>в402хт 98</t>
  </si>
  <si>
    <t>В547ХВ 98</t>
  </si>
  <si>
    <t>В537ХВ 98</t>
  </si>
  <si>
    <t>в544хв 98</t>
  </si>
  <si>
    <t>РОСТРАК 201F</t>
  </si>
  <si>
    <t>1856вр 78</t>
  </si>
  <si>
    <t>1857вр 78</t>
  </si>
  <si>
    <t>1858вр 78</t>
  </si>
  <si>
    <t>1859вр 78</t>
  </si>
  <si>
    <t>1860вр 78</t>
  </si>
  <si>
    <t>В775ЕХ 98</t>
  </si>
  <si>
    <t>В550ХВ 98</t>
  </si>
  <si>
    <t>В545ХВ 98</t>
  </si>
  <si>
    <t>В119АВ 178</t>
  </si>
  <si>
    <t>в548тр 78</t>
  </si>
  <si>
    <t>В082СС 98</t>
  </si>
  <si>
    <t>В219ТО 178</t>
  </si>
  <si>
    <t>В240ТО 178</t>
  </si>
  <si>
    <t>В059СС 98</t>
  </si>
  <si>
    <t>В632НВ 178</t>
  </si>
  <si>
    <t>В604ОА 178</t>
  </si>
  <si>
    <t>MERCEDES-BENZ Viano 3.5</t>
  </si>
  <si>
    <t>В327СН 98</t>
  </si>
  <si>
    <t>СИКАР-М-38952-0000010-15</t>
  </si>
  <si>
    <t>В601ОА 178</t>
  </si>
  <si>
    <t>В243ТО 178</t>
  </si>
  <si>
    <t>В241ТО 178</t>
  </si>
  <si>
    <t>В036СТ98</t>
  </si>
  <si>
    <t>ИОЦ</t>
  </si>
  <si>
    <t>В774ТУ 178</t>
  </si>
  <si>
    <t>FORD MONDEO</t>
  </si>
  <si>
    <t>Х960СУ 178</t>
  </si>
  <si>
    <t>В244ТО 178</t>
  </si>
  <si>
    <t>KIA XM FL Sorento</t>
  </si>
  <si>
    <t>х359нм 178</t>
  </si>
  <si>
    <t>х357нм 178</t>
  </si>
  <si>
    <t>х358нм 178</t>
  </si>
  <si>
    <t>В055СС 98</t>
  </si>
  <si>
    <t>В562ТЕ 98</t>
  </si>
  <si>
    <t>А755КА 198</t>
  </si>
  <si>
    <t>Форд Фокус</t>
  </si>
  <si>
    <t>х290вк 178</t>
  </si>
  <si>
    <t>KIA RIO</t>
  </si>
  <si>
    <t>с524вт 178</t>
  </si>
  <si>
    <t>а942рк 198</t>
  </si>
  <si>
    <t>Ford Mondeo</t>
  </si>
  <si>
    <t>х959су 178</t>
  </si>
  <si>
    <t>Е464АА 198</t>
  </si>
  <si>
    <t>х903мв 178</t>
  </si>
  <si>
    <t>у442уо 178</t>
  </si>
  <si>
    <t>в899см 178</t>
  </si>
  <si>
    <t>Е440АА 198</t>
  </si>
  <si>
    <t>с822вр 178</t>
  </si>
  <si>
    <t>а856ву 198</t>
  </si>
  <si>
    <t>е009еу 198</t>
  </si>
  <si>
    <t>е034еу 198</t>
  </si>
  <si>
    <t>е074еу 198</t>
  </si>
  <si>
    <t>е515еу 198</t>
  </si>
  <si>
    <t>е532еу 198</t>
  </si>
  <si>
    <t>е570еу 198</t>
  </si>
  <si>
    <t>е573еу 198</t>
  </si>
  <si>
    <t>в712ау 198</t>
  </si>
  <si>
    <t>в790ау 198</t>
  </si>
  <si>
    <t>в717ау 198</t>
  </si>
  <si>
    <t>в644ау 198</t>
  </si>
  <si>
    <t>В204ХК 198</t>
  </si>
  <si>
    <t>Е305АА 198</t>
  </si>
  <si>
    <t>Е374АА 198</t>
  </si>
  <si>
    <t>е460вр 198</t>
  </si>
  <si>
    <t>е683вр 198</t>
  </si>
  <si>
    <t>е693вр 198</t>
  </si>
  <si>
    <t>е741ен 198</t>
  </si>
  <si>
    <t>е762ен 198</t>
  </si>
  <si>
    <t>е613вр 198</t>
  </si>
  <si>
    <t>е782ен 198</t>
  </si>
  <si>
    <t>е796ен 198</t>
  </si>
  <si>
    <t>е775ен 198</t>
  </si>
  <si>
    <t>Е395АА 198</t>
  </si>
  <si>
    <t>KIA JF Optima</t>
  </si>
  <si>
    <t>о879еа 198</t>
  </si>
  <si>
    <t>е728ен 198</t>
  </si>
  <si>
    <t>о399ев 198</t>
  </si>
  <si>
    <t>Марка</t>
  </si>
  <si>
    <t>Гос. номер</t>
  </si>
  <si>
    <t>График работ</t>
  </si>
  <si>
    <t>Автокран</t>
  </si>
  <si>
    <t>Экскаватор погрузчик</t>
  </si>
  <si>
    <t>Вакуумный погрузчик</t>
  </si>
  <si>
    <t>Погрузчик</t>
  </si>
  <si>
    <t>Виловый погрузчик</t>
  </si>
  <si>
    <t>Автобус</t>
  </si>
  <si>
    <t>Эвакуатор</t>
  </si>
  <si>
    <t>Сп.фургон (аварийная)</t>
  </si>
  <si>
    <t>Гр.бортовой</t>
  </si>
  <si>
    <t>МКС</t>
  </si>
  <si>
    <t>Бара</t>
  </si>
  <si>
    <t>Бульдозер</t>
  </si>
  <si>
    <t>Самосвал</t>
  </si>
  <si>
    <t>Тягач</t>
  </si>
  <si>
    <t>Гр.фургон</t>
  </si>
  <si>
    <t>Дробильная установка</t>
  </si>
  <si>
    <t>Спец.цистерна</t>
  </si>
  <si>
    <t>Легковой</t>
  </si>
  <si>
    <t>Передвиж.пункт питания</t>
  </si>
  <si>
    <t>П/прицеп</t>
  </si>
  <si>
    <t>Туалеты</t>
  </si>
  <si>
    <t xml:space="preserve">Прицеп-цистерна </t>
  </si>
  <si>
    <t>Прицеп (бурение)</t>
  </si>
  <si>
    <t>Установка разведочного бурения</t>
  </si>
  <si>
    <t>Погрузчик фронтальный</t>
  </si>
  <si>
    <t>Купава</t>
  </si>
  <si>
    <t>Прицеп с установленным на нем информационно-указательным комплексом</t>
  </si>
  <si>
    <t xml:space="preserve">Автогидроподъемник   </t>
  </si>
  <si>
    <t>Лаборатория контроля уплотнения грунта</t>
  </si>
  <si>
    <t>Командный пункт</t>
  </si>
  <si>
    <t>Мусоровоз</t>
  </si>
  <si>
    <t>Илосос</t>
  </si>
  <si>
    <t>Комби</t>
  </si>
  <si>
    <t>Назначение_</t>
  </si>
  <si>
    <t xml:space="preserve">Сп.машина для сменных кузовов                          </t>
  </si>
  <si>
    <t>Мед.помощь</t>
  </si>
  <si>
    <t>ПУМ</t>
  </si>
  <si>
    <t>П/прицеп для транспортировки питьевой воды</t>
  </si>
  <si>
    <t>Бурильная установка</t>
  </si>
  <si>
    <t>Топливозаправщик</t>
  </si>
  <si>
    <t>Вакуумная установка</t>
  </si>
  <si>
    <t>Трактор с навес.оборудованием</t>
  </si>
  <si>
    <t>Экскаватор п/п</t>
  </si>
  <si>
    <t>САБ</t>
  </si>
  <si>
    <t>Водоотведение</t>
  </si>
  <si>
    <t>Водоснабжение</t>
  </si>
  <si>
    <t>Закрепление</t>
  </si>
  <si>
    <t>ИИЦ</t>
  </si>
  <si>
    <t>Ситуационный Центр</t>
  </si>
  <si>
    <t>Трактор</t>
  </si>
  <si>
    <t>перераспределение на другого заказчика</t>
  </si>
  <si>
    <t>сменность</t>
  </si>
  <si>
    <t>закрепление</t>
  </si>
  <si>
    <t>Категория</t>
  </si>
  <si>
    <t>марка (модель)</t>
  </si>
  <si>
    <t>гос №</t>
  </si>
  <si>
    <t>№ п/п</t>
  </si>
  <si>
    <t>время перераспределения</t>
  </si>
  <si>
    <t>Заказчик</t>
  </si>
  <si>
    <t>Сторонний заказчик</t>
  </si>
  <si>
    <t>Дирекция по строительству</t>
  </si>
  <si>
    <t>ЦРСЭП</t>
  </si>
  <si>
    <t>Столбец1</t>
  </si>
  <si>
    <t>Столбец2</t>
  </si>
  <si>
    <t>Столбец3</t>
  </si>
  <si>
    <t>#</t>
  </si>
  <si>
    <t>num</t>
  </si>
  <si>
    <t>654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</si>
</sst>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04"/>
      <scheme val="minor"/>
    </font>
    <font>
      <sz val="10"/>
      <color rgb="FF000000"/>
      <name val="MS Sans Serif"/>
      <family val="2"/>
      <charset val="204"/>
    </font>
    <font>
      <sz val="8"/>
      <color rgb="FF000000"/>
      <name val="MS Sans Serif"/>
      <family val="2"/>
      <charset val="204"/>
    </font>
    <font>
      <sz val="11"/>
      <color theme="1"/>
      <name val="Calibri"/>
      <family val="2"/>
      <scheme val="minor"/>
    </font>
    <font>
      <sz val="8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rgb="FF000000"/>
      <name val="MS Sans Serif"/>
    </font>
    <font>
      <sz val="8"/>
      <color rgb="FF000000"/>
      <name val="MS Sans Serif"/>
    </font>
    <font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/>
        <bgColor theme="8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42">
    <xf numFmtId="0" fontId="0" fillId="0" borderId="0" xfId="0"/>
    <xf numFmtId="0" fontId="0" fillId="0" borderId="0" xfId="0" applyAlignment="1">
      <alignment wrapText="1"/>
    </xf>
    <xf numFmtId="49" fontId="1" fillId="2" borderId="1" xfId="0" applyNumberFormat="1" applyFont="1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2" fillId="3" borderId="3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49" fontId="1" fillId="4" borderId="1" xfId="0" applyNumberFormat="1" applyFont="1" applyFill="1" applyBorder="1"/>
    <xf numFmtId="0" fontId="1" fillId="4" borderId="1" xfId="0" applyFont="1" applyFill="1" applyBorder="1"/>
    <xf numFmtId="0" fontId="2" fillId="5" borderId="3" xfId="0" applyFont="1" applyFill="1" applyBorder="1" applyAlignment="1">
      <alignment horizontal="center" vertical="center" wrapText="1"/>
    </xf>
    <xf numFmtId="49" fontId="1" fillId="5" borderId="1" xfId="0" applyNumberFormat="1" applyFont="1" applyFill="1" applyBorder="1"/>
    <xf numFmtId="0" fontId="0" fillId="5" borderId="0" xfId="0" applyFill="1"/>
    <xf numFmtId="0" fontId="2" fillId="6" borderId="3" xfId="0" applyFont="1" applyFill="1" applyBorder="1" applyAlignment="1">
      <alignment horizontal="center" vertical="center" wrapText="1"/>
    </xf>
    <xf numFmtId="49" fontId="1" fillId="6" borderId="1" xfId="0" applyNumberFormat="1" applyFont="1" applyFill="1" applyBorder="1"/>
    <xf numFmtId="0" fontId="1" fillId="6" borderId="1" xfId="0" applyFont="1" applyFill="1" applyBorder="1"/>
    <xf numFmtId="0" fontId="0" fillId="6" borderId="0" xfId="0" applyFill="1"/>
    <xf numFmtId="0" fontId="2" fillId="7" borderId="3" xfId="0" applyFont="1" applyFill="1" applyBorder="1" applyAlignment="1">
      <alignment horizontal="center" vertical="center" wrapText="1"/>
    </xf>
    <xf numFmtId="49" fontId="1" fillId="7" borderId="1" xfId="0" applyNumberFormat="1" applyFont="1" applyFill="1" applyBorder="1"/>
    <xf numFmtId="49" fontId="1" fillId="7" borderId="2" xfId="0" applyNumberFormat="1" applyFont="1" applyFill="1" applyBorder="1"/>
    <xf numFmtId="0" fontId="0" fillId="7" borderId="0" xfId="0" applyFill="1"/>
    <xf numFmtId="49" fontId="1" fillId="5" borderId="2" xfId="0" applyNumberFormat="1" applyFont="1" applyFill="1" applyBorder="1"/>
    <xf numFmtId="49" fontId="1" fillId="8" borderId="1" xfId="0" applyNumberFormat="1" applyFont="1" applyFill="1" applyBorder="1"/>
    <xf numFmtId="49" fontId="1" fillId="4" borderId="2" xfId="0" applyNumberFormat="1" applyFont="1" applyFill="1" applyBorder="1"/>
    <xf numFmtId="0" fontId="6" fillId="0" borderId="4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5" fillId="9" borderId="5" xfId="0" applyFont="1" applyFill="1" applyBorder="1" applyAlignment="1">
      <alignment horizontal="center" vertical="center" wrapText="1"/>
    </xf>
    <xf numFmtId="49" fontId="5" fillId="9" borderId="6" xfId="0" applyNumberFormat="1" applyFont="1" applyFill="1" applyBorder="1" applyAlignment="1">
      <alignment horizontal="center" vertical="center" wrapText="1"/>
    </xf>
    <xf numFmtId="49" fontId="5" fillId="9" borderId="5" xfId="0" applyNumberFormat="1" applyFont="1" applyFill="1" applyBorder="1" applyAlignment="1">
      <alignment horizontal="center" vertical="center" wrapText="1"/>
    </xf>
    <xf numFmtId="0" fontId="7" fillId="0" borderId="0" xfId="0" applyFont="1"/>
    <xf numFmtId="0" fontId="7" fillId="0" borderId="0" xfId="0" applyFont="1" applyFill="1" applyBorder="1" applyAlignment="1">
      <alignment horizontal="center" vertical="center" wrapText="1"/>
    </xf>
    <xf numFmtId="49" fontId="7" fillId="0" borderId="0" xfId="0" applyNumberFormat="1" applyFont="1" applyFill="1" applyBorder="1" applyAlignment="1">
      <alignment horizontal="center" vertical="center" wrapText="1"/>
    </xf>
    <xf numFmtId="0" fontId="8" fillId="2" borderId="0" xfId="0" applyFont="1" applyFill="1"/>
    <xf numFmtId="0" fontId="9" fillId="3" borderId="3" xfId="0" applyFont="1" applyFill="1" applyBorder="1" applyAlignment="1">
      <alignment horizontal="center" vertical="center" wrapText="1"/>
    </xf>
    <xf numFmtId="0" fontId="0" fillId="0" borderId="7" xfId="0" applyBorder="1" applyAlignment="1">
      <alignment wrapText="1"/>
    </xf>
    <xf numFmtId="0" fontId="7" fillId="0" borderId="0" xfId="0" applyFont="1" applyAlignment="1">
      <alignment wrapText="1"/>
    </xf>
    <xf numFmtId="0" fontId="0" fillId="0" borderId="8" xfId="0" applyBorder="1" applyAlignment="1">
      <alignment wrapText="1"/>
    </xf>
    <xf numFmtId="0" fontId="0" fillId="0" borderId="1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0" xfId="0" applyBorder="1"/>
    <xf numFmtId="14" fontId="6" fillId="0" borderId="0" xfId="0" applyNumberFormat="1" applyFon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14" fontId="6" fillId="0" borderId="4" xfId="0" applyNumberFormat="1" applyFont="1" applyBorder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26">
    <dxf>
      <border outline="0">
        <top style="hair">
          <color indexed="64"/>
        </top>
      </border>
    </dxf>
    <dxf>
      <border outline="0"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hair">
          <color indexed="64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numFmt numFmtId="30" formatCode="@"/>
      <fill>
        <patternFill patternType="solid">
          <fgColor indexed="64"/>
          <bgColor rgb="FFFFFFFF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numFmt numFmtId="30" formatCode="@"/>
      <fill>
        <patternFill patternType="solid">
          <fgColor indexed="64"/>
          <bgColor theme="9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numFmt numFmtId="30" formatCode="@"/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MS Sans Serif"/>
        <scheme val="none"/>
      </font>
      <fill>
        <patternFill patternType="solid">
          <fgColor indexed="64"/>
          <bgColor rgb="FFFFFFFF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MS Sans Serif"/>
        <scheme val="none"/>
      </font>
      <fill>
        <patternFill patternType="solid">
          <fgColor indexed="64"/>
          <bgColor rgb="FFC0C0C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9525</xdr:rowOff>
        </xdr:from>
        <xdr:to>
          <xdr:col>8</xdr:col>
          <xdr:colOff>9525</xdr:colOff>
          <xdr:row>2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19050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Внести новую технику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_baza" displayName="tb_baza" ref="A1:G1036" totalsRowShown="0" headerRowDxfId="25" dataDxfId="23" headerRowBorderDxfId="24" tableBorderDxfId="22" totalsRowBorderDxfId="21">
  <autoFilter ref="A1:G1036" xr:uid="{00000000-0009-0000-0100-000001000000}"/>
  <sortState ref="A2:F1036">
    <sortCondition ref="C1:C1036"/>
  </sortState>
  <tableColumns count="7">
    <tableColumn id="3" xr3:uid="{00000000-0010-0000-0000-000003000000}" name="Гос. номер" dataDxfId="20"/>
    <tableColumn id="2" xr3:uid="{00000000-0010-0000-0000-000002000000}" name="Марка" dataDxfId="19"/>
    <tableColumn id="4" xr3:uid="{00000000-0010-0000-0000-000004000000}" name="САБ" dataDxfId="18"/>
    <tableColumn id="5" xr3:uid="{00000000-0010-0000-0000-000005000000}" name="Назначение_" dataDxfId="17"/>
    <tableColumn id="7" xr3:uid="{00000000-0010-0000-0000-000007000000}" name="Закрепление" dataDxfId="16"/>
    <tableColumn id="59" xr3:uid="{00000000-0010-0000-0000-00003B000000}" name="График работ" dataDxfId="15"/>
    <tableColumn id="1" xr3:uid="{00000000-0010-0000-0000-000001000000}" name="Столбец1" dataDxfId="1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_zakazchik" displayName="tb_zakazchik" ref="H1:K1036" totalsRowShown="0" headerRowDxfId="13">
  <autoFilter ref="H1:K1036" xr:uid="{00000000-0009-0000-0100-000003000000}"/>
  <tableColumns count="4">
    <tableColumn id="1" xr3:uid="{00000000-0010-0000-0100-000001000000}" name="Заказчик"/>
    <tableColumn id="2" xr3:uid="{00000000-0010-0000-0100-000002000000}" name="Столбец1" dataDxfId="12">
      <calculatedColumnFormula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calculatedColumnFormula>
    </tableColumn>
    <tableColumn id="3" xr3:uid="{00000000-0010-0000-0100-000003000000}" name="Столбец2" dataDxfId="11">
      <calculatedColumnFormula>IF(tb_zakazchik[[#This Row],[Столбец1]]&lt;&gt;"",SUM($I$2:I2),"")</calculatedColumnFormula>
    </tableColumn>
    <tableColumn id="4" xr3:uid="{00000000-0010-0000-0100-000004000000}" name="Столбец3" dataDxfId="10">
      <calculatedColumnFormula>IF(tb_zakazchik[[#This Row],[Столбец1]]&lt;&gt;"",tb_baza[[#This Row],[Гос. номер]],"")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_nevostreb" displayName="tb_nevostreb" ref="A3:C8" totalsRowShown="0" headerRowDxfId="9" dataDxfId="7" headerRowBorderDxfId="8" tableBorderDxfId="6">
  <tableColumns count="3">
    <tableColumn id="1" xr3:uid="{00000000-0010-0000-0200-000001000000}" name="№ п/п" dataDxfId="5">
      <calculatedColumnFormula>ROW(A1)</calculatedColumnFormula>
    </tableColumn>
    <tableColumn id="2" xr3:uid="{00000000-0010-0000-0200-000002000000}" name="гос №" dataDxfId="4"/>
    <tableColumn id="3" xr3:uid="{00000000-0010-0000-0200-000003000000}" name="марка (модель)" dataDxfId="3"/>
  </tableColumns>
  <tableStyleInfo name="TableStyleLight16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b_nevostreb7" displayName="tb_nevostreb7" ref="A3:I19" totalsRowShown="0" headerRowDxfId="2" headerRowBorderDxfId="1" tableBorderDxfId="0">
  <autoFilter ref="A3:I19" xr:uid="{00000000-0009-0000-0100-000006000000}"/>
  <tableColumns count="9">
    <tableColumn id="1" xr3:uid="{00000000-0010-0000-0300-000001000000}" name="№ п/п">
      <calculatedColumnFormula>ROW(A1)</calculatedColumnFormula>
    </tableColumn>
    <tableColumn id="2" xr3:uid="{00000000-0010-0000-0300-000002000000}" name="гос №"/>
    <tableColumn id="3" xr3:uid="{00000000-0010-0000-0300-000003000000}" name="марка (модель)"/>
    <tableColumn id="4" xr3:uid="{00000000-0010-0000-0300-000004000000}" name="Категория"/>
    <tableColumn id="5" xr3:uid="{00000000-0010-0000-0300-000005000000}" name="САБ"/>
    <tableColumn id="6" xr3:uid="{00000000-0010-0000-0300-000006000000}" name="закрепление"/>
    <tableColumn id="7" xr3:uid="{00000000-0010-0000-0300-000007000000}" name="сменность"/>
    <tableColumn id="8" xr3:uid="{00000000-0010-0000-0300-000008000000}" name="перераспределение на другого заказчика"/>
    <tableColumn id="9" xr3:uid="{00000000-0010-0000-0300-000009000000}" name="время перераспределения"/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aza"/>
  <dimension ref="A1:K1036"/>
  <sheetViews>
    <sheetView zoomScaleNormal="100" workbookViewId="0">
      <selection activeCell="D3" sqref="D3"/>
    </sheetView>
  </sheetViews>
  <sheetFormatPr defaultRowHeight="15" x14ac:dyDescent="0.25"/>
  <cols>
    <col min="1" max="1" width="21.7109375" style="11" customWidth="1"/>
    <col min="2" max="2" width="29.7109375" customWidth="1"/>
    <col min="3" max="3" width="20.7109375" customWidth="1"/>
    <col min="4" max="4" width="30.42578125" style="19" customWidth="1"/>
    <col min="5" max="5" width="26" style="15" bestFit="1" customWidth="1"/>
    <col min="6" max="6" width="29.28515625" customWidth="1"/>
    <col min="7" max="7" width="12.85546875" customWidth="1"/>
    <col min="8" max="8" width="26.7109375" customWidth="1"/>
    <col min="9" max="9" width="20.140625" customWidth="1"/>
    <col min="10" max="10" width="16.5703125" customWidth="1"/>
    <col min="11" max="11" width="17.42578125" customWidth="1"/>
    <col min="12" max="12" width="22.28515625" customWidth="1"/>
    <col min="13" max="13" width="28.5703125" customWidth="1"/>
    <col min="14" max="14" width="20.85546875" customWidth="1"/>
    <col min="15" max="15" width="20" customWidth="1"/>
  </cols>
  <sheetData>
    <row r="1" spans="1:11" s="1" customFormat="1" ht="32.1" customHeight="1" x14ac:dyDescent="0.25">
      <c r="A1" s="16" t="s">
        <v>1260</v>
      </c>
      <c r="B1" s="9" t="s">
        <v>1259</v>
      </c>
      <c r="C1" s="12" t="s">
        <v>1305</v>
      </c>
      <c r="D1" s="6" t="s">
        <v>1295</v>
      </c>
      <c r="E1" s="5" t="s">
        <v>1308</v>
      </c>
      <c r="F1" s="5" t="s">
        <v>1261</v>
      </c>
      <c r="G1" s="32" t="s">
        <v>1324</v>
      </c>
      <c r="H1" s="28" t="s">
        <v>1320</v>
      </c>
      <c r="I1" s="34" t="s">
        <v>1324</v>
      </c>
      <c r="J1" s="34" t="s">
        <v>1325</v>
      </c>
      <c r="K1" s="34" t="s">
        <v>1326</v>
      </c>
    </row>
    <row r="2" spans="1:11" x14ac:dyDescent="0.25">
      <c r="A2" s="17" t="s">
        <v>521</v>
      </c>
      <c r="B2" s="10" t="s">
        <v>520</v>
      </c>
      <c r="C2" s="13" t="s">
        <v>306</v>
      </c>
      <c r="D2" s="7" t="s">
        <v>1262</v>
      </c>
      <c r="E2" s="2" t="s">
        <v>1307</v>
      </c>
      <c r="F2" s="2" t="s">
        <v>6</v>
      </c>
      <c r="G2" s="31"/>
      <c r="H2" t="s">
        <v>1306</v>
      </c>
      <c r="I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" t="str">
        <f>IF(tb_zakazchik[[#This Row],[Столбец1]]&lt;&gt;"",SUM($I$2:I2),"")</f>
        <v/>
      </c>
      <c r="K2" t="str">
        <f>IF(tb_zakazchik[[#This Row],[Столбец1]]&lt;&gt;"",tb_baza[[#This Row],[Гос. номер]],"")</f>
        <v/>
      </c>
    </row>
    <row r="3" spans="1:11" x14ac:dyDescent="0.25">
      <c r="A3" s="17" t="s">
        <v>300</v>
      </c>
      <c r="B3" s="10" t="s">
        <v>243</v>
      </c>
      <c r="C3" s="13" t="s">
        <v>306</v>
      </c>
      <c r="D3" s="7" t="s">
        <v>1262</v>
      </c>
      <c r="E3" s="2" t="s">
        <v>1307</v>
      </c>
      <c r="F3" s="2" t="s">
        <v>13</v>
      </c>
      <c r="G3" s="31"/>
      <c r="H3" t="s">
        <v>1307</v>
      </c>
      <c r="I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" t="str">
        <f>IF(tb_zakazchik[[#This Row],[Столбец1]]&lt;&gt;"",SUM($I$2:I3),"")</f>
        <v/>
      </c>
      <c r="K3" t="str">
        <f>IF(tb_zakazchik[[#This Row],[Столбец1]]&lt;&gt;"",tb_baza[[#This Row],[Гос. номер]],"")</f>
        <v/>
      </c>
    </row>
    <row r="4" spans="1:11" x14ac:dyDescent="0.25">
      <c r="A4" s="17" t="s">
        <v>988</v>
      </c>
      <c r="B4" s="10" t="s">
        <v>984</v>
      </c>
      <c r="C4" s="13" t="s">
        <v>306</v>
      </c>
      <c r="D4" s="7" t="s">
        <v>1262</v>
      </c>
      <c r="E4" s="2" t="s">
        <v>12</v>
      </c>
      <c r="F4" s="2" t="s">
        <v>13</v>
      </c>
      <c r="G4" s="31"/>
      <c r="H4" t="s">
        <v>140</v>
      </c>
      <c r="I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" t="str">
        <f>IF(tb_zakazchik[[#This Row],[Столбец1]]&lt;&gt;"",SUM($I$2:I4),"")</f>
        <v/>
      </c>
      <c r="K4" t="str">
        <f>IF(tb_zakazchik[[#This Row],[Столбец1]]&lt;&gt;"",tb_baza[[#This Row],[Гос. номер]],"")</f>
        <v/>
      </c>
    </row>
    <row r="5" spans="1:11" x14ac:dyDescent="0.25">
      <c r="A5" s="17" t="s">
        <v>987</v>
      </c>
      <c r="B5" s="10" t="s">
        <v>984</v>
      </c>
      <c r="C5" s="13" t="s">
        <v>306</v>
      </c>
      <c r="D5" s="7" t="s">
        <v>1262</v>
      </c>
      <c r="E5" s="2" t="s">
        <v>12</v>
      </c>
      <c r="F5" s="2" t="s">
        <v>3</v>
      </c>
      <c r="G5" s="31"/>
      <c r="H5" t="s">
        <v>1322</v>
      </c>
      <c r="I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" t="str">
        <f>IF(tb_zakazchik[[#This Row],[Столбец1]]&lt;&gt;"",SUM($I$2:I5),"")</f>
        <v/>
      </c>
      <c r="K5" t="str">
        <f>IF(tb_zakazchik[[#This Row],[Столбец1]]&lt;&gt;"",tb_baza[[#This Row],[Гос. номер]],"")</f>
        <v/>
      </c>
    </row>
    <row r="6" spans="1:11" x14ac:dyDescent="0.25">
      <c r="A6" s="17" t="s">
        <v>880</v>
      </c>
      <c r="B6" s="10" t="s">
        <v>879</v>
      </c>
      <c r="C6" s="13" t="s">
        <v>306</v>
      </c>
      <c r="D6" s="7" t="s">
        <v>1272</v>
      </c>
      <c r="E6" s="2" t="s">
        <v>1307</v>
      </c>
      <c r="F6" s="2" t="s">
        <v>13</v>
      </c>
      <c r="G6" s="31"/>
      <c r="H6" t="s">
        <v>187</v>
      </c>
      <c r="I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" t="str">
        <f>IF(tb_zakazchik[[#This Row],[Столбец1]]&lt;&gt;"",SUM($I$2:I6),"")</f>
        <v/>
      </c>
      <c r="K6" t="str">
        <f>IF(tb_zakazchik[[#This Row],[Столбец1]]&lt;&gt;"",tb_baza[[#This Row],[Гос. номер]],"")</f>
        <v/>
      </c>
    </row>
    <row r="7" spans="1:11" x14ac:dyDescent="0.25">
      <c r="A7" s="17" t="s">
        <v>618</v>
      </c>
      <c r="B7" s="10" t="s">
        <v>14</v>
      </c>
      <c r="C7" s="13" t="s">
        <v>306</v>
      </c>
      <c r="D7" s="7" t="s">
        <v>1272</v>
      </c>
      <c r="E7" s="2" t="s">
        <v>1307</v>
      </c>
      <c r="F7" s="2" t="s">
        <v>13</v>
      </c>
      <c r="G7" s="31"/>
      <c r="H7" t="s">
        <v>1309</v>
      </c>
      <c r="I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" t="str">
        <f>IF(tb_zakazchik[[#This Row],[Столбец1]]&lt;&gt;"",SUM($I$2:I7),"")</f>
        <v/>
      </c>
      <c r="K7" t="str">
        <f>IF(tb_zakazchik[[#This Row],[Столбец1]]&lt;&gt;"",tb_baza[[#This Row],[Гос. номер]],"")</f>
        <v/>
      </c>
    </row>
    <row r="8" spans="1:11" x14ac:dyDescent="0.25">
      <c r="A8" s="17" t="s">
        <v>177</v>
      </c>
      <c r="B8" s="10" t="s">
        <v>14</v>
      </c>
      <c r="C8" s="13" t="s">
        <v>306</v>
      </c>
      <c r="D8" s="7" t="s">
        <v>1272</v>
      </c>
      <c r="E8" s="2" t="s">
        <v>1307</v>
      </c>
      <c r="F8" s="2" t="s">
        <v>13</v>
      </c>
      <c r="G8" s="31"/>
      <c r="H8" t="s">
        <v>1205</v>
      </c>
      <c r="I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" t="str">
        <f>IF(tb_zakazchik[[#This Row],[Столбец1]]&lt;&gt;"",SUM($I$2:I8),"")</f>
        <v/>
      </c>
      <c r="K8" t="str">
        <f>IF(tb_zakazchik[[#This Row],[Столбец1]]&lt;&gt;"",tb_baza[[#This Row],[Гос. номер]],"")</f>
        <v/>
      </c>
    </row>
    <row r="9" spans="1:11" x14ac:dyDescent="0.25">
      <c r="A9" s="17" t="s">
        <v>617</v>
      </c>
      <c r="B9" s="10" t="s">
        <v>14</v>
      </c>
      <c r="C9" s="13" t="s">
        <v>306</v>
      </c>
      <c r="D9" s="7" t="s">
        <v>1272</v>
      </c>
      <c r="E9" s="2" t="s">
        <v>1307</v>
      </c>
      <c r="F9" s="2" t="s">
        <v>13</v>
      </c>
      <c r="G9" s="31"/>
      <c r="H9" t="s">
        <v>223</v>
      </c>
      <c r="I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" t="str">
        <f>IF(tb_zakazchik[[#This Row],[Столбец1]]&lt;&gt;"",SUM($I$2:I9),"")</f>
        <v/>
      </c>
      <c r="K9" t="str">
        <f>IF(tb_zakazchik[[#This Row],[Столбец1]]&lt;&gt;"",tb_baza[[#This Row],[Гос. номер]],"")</f>
        <v/>
      </c>
    </row>
    <row r="10" spans="1:11" x14ac:dyDescent="0.25">
      <c r="A10" s="17" t="s">
        <v>616</v>
      </c>
      <c r="B10" s="10" t="s">
        <v>14</v>
      </c>
      <c r="C10" s="13" t="s">
        <v>306</v>
      </c>
      <c r="D10" s="7" t="s">
        <v>1272</v>
      </c>
      <c r="E10" s="2" t="s">
        <v>1307</v>
      </c>
      <c r="F10" s="2" t="s">
        <v>3</v>
      </c>
      <c r="G10" s="31"/>
      <c r="H10" t="s">
        <v>1104</v>
      </c>
      <c r="I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" t="str">
        <f>IF(tb_zakazchik[[#This Row],[Столбец1]]&lt;&gt;"",SUM($I$2:I10),"")</f>
        <v/>
      </c>
      <c r="K10" t="str">
        <f>IF(tb_zakazchik[[#This Row],[Столбец1]]&lt;&gt;"",tb_baza[[#This Row],[Гос. номер]],"")</f>
        <v/>
      </c>
    </row>
    <row r="11" spans="1:11" x14ac:dyDescent="0.25">
      <c r="A11" s="17" t="s">
        <v>241</v>
      </c>
      <c r="B11" s="10" t="s">
        <v>14</v>
      </c>
      <c r="C11" s="13" t="s">
        <v>306</v>
      </c>
      <c r="D11" s="7" t="s">
        <v>1272</v>
      </c>
      <c r="E11" s="2" t="s">
        <v>1307</v>
      </c>
      <c r="F11" s="2" t="s">
        <v>6</v>
      </c>
      <c r="G11" s="31"/>
      <c r="H11" t="s">
        <v>1310</v>
      </c>
      <c r="I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" t="str">
        <f>IF(tb_zakazchik[[#This Row],[Столбец1]]&lt;&gt;"",SUM($I$2:I11),"")</f>
        <v/>
      </c>
      <c r="K11" t="str">
        <f>IF(tb_zakazchik[[#This Row],[Столбец1]]&lt;&gt;"",tb_baza[[#This Row],[Гос. номер]],"")</f>
        <v/>
      </c>
    </row>
    <row r="12" spans="1:11" x14ac:dyDescent="0.25">
      <c r="A12" s="17" t="s">
        <v>161</v>
      </c>
      <c r="B12" s="10" t="s">
        <v>14</v>
      </c>
      <c r="C12" s="13" t="s">
        <v>306</v>
      </c>
      <c r="D12" s="7" t="s">
        <v>1272</v>
      </c>
      <c r="E12" s="2" t="s">
        <v>1307</v>
      </c>
      <c r="F12" s="2" t="s">
        <v>6</v>
      </c>
      <c r="G12" s="31"/>
      <c r="H12" t="s">
        <v>2</v>
      </c>
      <c r="I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" t="str">
        <f>IF(tb_zakazchik[[#This Row],[Столбец1]]&lt;&gt;"",SUM($I$2:I12),"")</f>
        <v/>
      </c>
      <c r="K12" t="str">
        <f>IF(tb_zakazchik[[#This Row],[Столбец1]]&lt;&gt;"",tb_baza[[#This Row],[Гос. номер]],"")</f>
        <v/>
      </c>
    </row>
    <row r="13" spans="1:11" x14ac:dyDescent="0.25">
      <c r="A13" s="17" t="s">
        <v>20</v>
      </c>
      <c r="B13" s="10" t="s">
        <v>14</v>
      </c>
      <c r="C13" s="13" t="s">
        <v>306</v>
      </c>
      <c r="D13" s="7" t="s">
        <v>1272</v>
      </c>
      <c r="E13" s="2" t="s">
        <v>1307</v>
      </c>
      <c r="F13" s="2" t="s">
        <v>6</v>
      </c>
      <c r="G13" s="31"/>
      <c r="H13" t="s">
        <v>12</v>
      </c>
      <c r="I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" t="str">
        <f>IF(tb_zakazchik[[#This Row],[Столбец1]]&lt;&gt;"",SUM($I$2:I13),"")</f>
        <v/>
      </c>
      <c r="K13" t="str">
        <f>IF(tb_zakazchik[[#This Row],[Столбец1]]&lt;&gt;"",tb_baza[[#This Row],[Гос. номер]],"")</f>
        <v/>
      </c>
    </row>
    <row r="14" spans="1:11" x14ac:dyDescent="0.25">
      <c r="A14" s="17" t="s">
        <v>34</v>
      </c>
      <c r="B14" s="10" t="s">
        <v>14</v>
      </c>
      <c r="C14" s="13" t="s">
        <v>306</v>
      </c>
      <c r="D14" s="7" t="s">
        <v>1272</v>
      </c>
      <c r="E14" s="2" t="s">
        <v>1307</v>
      </c>
      <c r="F14" s="2" t="s">
        <v>3</v>
      </c>
      <c r="G14" s="31"/>
      <c r="H14" t="s">
        <v>1323</v>
      </c>
      <c r="I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" t="str">
        <f>IF(tb_zakazchik[[#This Row],[Столбец1]]&lt;&gt;"",SUM($I$2:I14),"")</f>
        <v/>
      </c>
      <c r="K14" t="str">
        <f>IF(tb_zakazchik[[#This Row],[Столбец1]]&lt;&gt;"",tb_baza[[#This Row],[Гос. номер]],"")</f>
        <v/>
      </c>
    </row>
    <row r="15" spans="1:11" x14ac:dyDescent="0.25">
      <c r="A15" s="17" t="s">
        <v>627</v>
      </c>
      <c r="B15" s="10" t="s">
        <v>14</v>
      </c>
      <c r="C15" s="13" t="s">
        <v>306</v>
      </c>
      <c r="D15" s="7" t="s">
        <v>1272</v>
      </c>
      <c r="E15" s="2" t="s">
        <v>1307</v>
      </c>
      <c r="F15" s="2" t="s">
        <v>3</v>
      </c>
      <c r="G15" s="31"/>
      <c r="H15" t="s">
        <v>1321</v>
      </c>
      <c r="I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" t="str">
        <f>IF(tb_zakazchik[[#This Row],[Столбец1]]&lt;&gt;"",SUM($I$2:I15),"")</f>
        <v/>
      </c>
      <c r="K15" t="str">
        <f>IF(tb_zakazchik[[#This Row],[Столбец1]]&lt;&gt;"",tb_baza[[#This Row],[Гос. номер]],"")</f>
        <v/>
      </c>
    </row>
    <row r="16" spans="1:11" x14ac:dyDescent="0.25">
      <c r="A16" s="17" t="s">
        <v>147</v>
      </c>
      <c r="B16" s="10" t="s">
        <v>14</v>
      </c>
      <c r="C16" s="13" t="s">
        <v>306</v>
      </c>
      <c r="D16" s="7" t="s">
        <v>1272</v>
      </c>
      <c r="E16" s="2" t="s">
        <v>1307</v>
      </c>
      <c r="F16" s="2" t="s">
        <v>6</v>
      </c>
      <c r="G16" s="31"/>
      <c r="I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" t="str">
        <f>IF(tb_zakazchik[[#This Row],[Столбец1]]&lt;&gt;"",SUM($I$2:I16),"")</f>
        <v/>
      </c>
      <c r="K16" t="str">
        <f>IF(tb_zakazchik[[#This Row],[Столбец1]]&lt;&gt;"",tb_baza[[#This Row],[Гос. номер]],"")</f>
        <v/>
      </c>
    </row>
    <row r="17" spans="1:11" x14ac:dyDescent="0.25">
      <c r="A17" s="17" t="s">
        <v>660</v>
      </c>
      <c r="B17" s="10" t="s">
        <v>14</v>
      </c>
      <c r="C17" s="13" t="s">
        <v>306</v>
      </c>
      <c r="D17" s="7" t="s">
        <v>1272</v>
      </c>
      <c r="E17" s="2" t="s">
        <v>1307</v>
      </c>
      <c r="F17" s="2" t="s">
        <v>6</v>
      </c>
      <c r="G17" s="31"/>
      <c r="I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" t="str">
        <f>IF(tb_zakazchik[[#This Row],[Столбец1]]&lt;&gt;"",SUM($I$2:I17),"")</f>
        <v/>
      </c>
      <c r="K17" t="str">
        <f>IF(tb_zakazchik[[#This Row],[Столбец1]]&lt;&gt;"",tb_baza[[#This Row],[Гос. номер]],"")</f>
        <v/>
      </c>
    </row>
    <row r="18" spans="1:11" x14ac:dyDescent="0.25">
      <c r="A18" s="17" t="s">
        <v>39</v>
      </c>
      <c r="B18" s="10" t="s">
        <v>26</v>
      </c>
      <c r="C18" s="13" t="s">
        <v>306</v>
      </c>
      <c r="D18" s="7" t="s">
        <v>1272</v>
      </c>
      <c r="E18" s="2" t="s">
        <v>12</v>
      </c>
      <c r="F18" s="2" t="s">
        <v>13</v>
      </c>
      <c r="G18" s="31">
        <v>777</v>
      </c>
      <c r="I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" t="str">
        <f>IF(tb_zakazchik[[#This Row],[Столбец1]]&lt;&gt;"",SUM($I$2:I18),"")</f>
        <v/>
      </c>
      <c r="K18" t="str">
        <f>IF(tb_zakazchik[[#This Row],[Столбец1]]&lt;&gt;"",tb_baza[[#This Row],[Гос. номер]],"")</f>
        <v/>
      </c>
    </row>
    <row r="19" spans="1:11" x14ac:dyDescent="0.25">
      <c r="A19" s="17" t="s">
        <v>980</v>
      </c>
      <c r="B19" s="10" t="s">
        <v>26</v>
      </c>
      <c r="C19" s="13" t="s">
        <v>306</v>
      </c>
      <c r="D19" s="7" t="s">
        <v>1272</v>
      </c>
      <c r="E19" s="2" t="s">
        <v>12</v>
      </c>
      <c r="F19" s="2" t="s">
        <v>13</v>
      </c>
      <c r="G19" s="31"/>
      <c r="I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" t="str">
        <f>IF(tb_zakazchik[[#This Row],[Столбец1]]&lt;&gt;"",SUM($I$2:I19),"")</f>
        <v/>
      </c>
      <c r="K19" t="str">
        <f>IF(tb_zakazchik[[#This Row],[Столбец1]]&lt;&gt;"",tb_baza[[#This Row],[Гос. номер]],"")</f>
        <v/>
      </c>
    </row>
    <row r="20" spans="1:11" x14ac:dyDescent="0.25">
      <c r="A20" s="17" t="s">
        <v>27</v>
      </c>
      <c r="B20" s="10" t="s">
        <v>26</v>
      </c>
      <c r="C20" s="13" t="s">
        <v>306</v>
      </c>
      <c r="D20" s="7" t="s">
        <v>1272</v>
      </c>
      <c r="E20" s="2" t="s">
        <v>12</v>
      </c>
      <c r="F20" s="2" t="s">
        <v>3</v>
      </c>
      <c r="G20" s="31"/>
      <c r="I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" t="str">
        <f>IF(tb_zakazchik[[#This Row],[Столбец1]]&lt;&gt;"",SUM($I$2:I20),"")</f>
        <v/>
      </c>
      <c r="K20" t="str">
        <f>IF(tb_zakazchik[[#This Row],[Столбец1]]&lt;&gt;"",tb_baza[[#This Row],[Гос. номер]],"")</f>
        <v/>
      </c>
    </row>
    <row r="21" spans="1:11" x14ac:dyDescent="0.25">
      <c r="A21" s="17" t="s">
        <v>700</v>
      </c>
      <c r="B21" s="10" t="s">
        <v>699</v>
      </c>
      <c r="C21" s="13" t="s">
        <v>306</v>
      </c>
      <c r="D21" s="8" t="s">
        <v>1300</v>
      </c>
      <c r="E21" s="2" t="s">
        <v>12</v>
      </c>
      <c r="F21" s="3"/>
      <c r="G21" s="31"/>
      <c r="I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" t="str">
        <f>IF(tb_zakazchik[[#This Row],[Столбец1]]&lt;&gt;"",SUM($I$2:I21),"")</f>
        <v/>
      </c>
      <c r="K21" t="str">
        <f>IF(tb_zakazchik[[#This Row],[Столбец1]]&lt;&gt;"",tb_baza[[#This Row],[Гос. номер]],"")</f>
        <v/>
      </c>
    </row>
    <row r="22" spans="1:11" x14ac:dyDescent="0.25">
      <c r="A22" s="17" t="s">
        <v>357</v>
      </c>
      <c r="B22" s="10" t="s">
        <v>356</v>
      </c>
      <c r="C22" s="13" t="s">
        <v>306</v>
      </c>
      <c r="D22" s="8" t="s">
        <v>1300</v>
      </c>
      <c r="E22" s="2" t="s">
        <v>12</v>
      </c>
      <c r="F22" s="3"/>
      <c r="G22" s="31"/>
      <c r="I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" t="str">
        <f>IF(tb_zakazchik[[#This Row],[Столбец1]]&lt;&gt;"",SUM($I$2:I22),"")</f>
        <v/>
      </c>
      <c r="K22" t="str">
        <f>IF(tb_zakazchik[[#This Row],[Столбец1]]&lt;&gt;"",tb_baza[[#This Row],[Гос. номер]],"")</f>
        <v/>
      </c>
    </row>
    <row r="23" spans="1:11" x14ac:dyDescent="0.25">
      <c r="A23" s="17" t="s">
        <v>358</v>
      </c>
      <c r="B23" s="10" t="s">
        <v>356</v>
      </c>
      <c r="C23" s="13" t="s">
        <v>306</v>
      </c>
      <c r="D23" s="8" t="s">
        <v>1300</v>
      </c>
      <c r="E23" s="2" t="s">
        <v>12</v>
      </c>
      <c r="F23" s="3"/>
      <c r="G23" s="31"/>
      <c r="I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" t="str">
        <f>IF(tb_zakazchik[[#This Row],[Столбец1]]&lt;&gt;"",SUM($I$2:I23),"")</f>
        <v/>
      </c>
      <c r="K23" t="str">
        <f>IF(tb_zakazchik[[#This Row],[Столбец1]]&lt;&gt;"",tb_baza[[#This Row],[Гос. номер]],"")</f>
        <v/>
      </c>
    </row>
    <row r="24" spans="1:11" x14ac:dyDescent="0.25">
      <c r="A24" s="17" t="s">
        <v>1036</v>
      </c>
      <c r="B24" s="10" t="s">
        <v>55</v>
      </c>
      <c r="C24" s="13" t="s">
        <v>306</v>
      </c>
      <c r="D24" s="7" t="s">
        <v>1302</v>
      </c>
      <c r="E24" s="2" t="s">
        <v>1307</v>
      </c>
      <c r="F24" s="2" t="s">
        <v>13</v>
      </c>
      <c r="G24" s="31"/>
      <c r="I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" t="str">
        <f>IF(tb_zakazchik[[#This Row],[Столбец1]]&lt;&gt;"",SUM($I$2:I24),"")</f>
        <v/>
      </c>
      <c r="K24" t="str">
        <f>IF(tb_zakazchik[[#This Row],[Столбец1]]&lt;&gt;"",tb_baza[[#This Row],[Гос. номер]],"")</f>
        <v/>
      </c>
    </row>
    <row r="25" spans="1:11" x14ac:dyDescent="0.25">
      <c r="A25" s="17" t="s">
        <v>56</v>
      </c>
      <c r="B25" s="10" t="s">
        <v>55</v>
      </c>
      <c r="C25" s="13" t="s">
        <v>306</v>
      </c>
      <c r="D25" s="7" t="s">
        <v>1302</v>
      </c>
      <c r="E25" s="2" t="s">
        <v>1307</v>
      </c>
      <c r="F25" s="2" t="s">
        <v>13</v>
      </c>
      <c r="G25" s="31"/>
      <c r="I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" t="str">
        <f>IF(tb_zakazchik[[#This Row],[Столбец1]]&lt;&gt;"",SUM($I$2:I25),"")</f>
        <v/>
      </c>
      <c r="K25" t="str">
        <f>IF(tb_zakazchik[[#This Row],[Столбец1]]&lt;&gt;"",tb_baza[[#This Row],[Гос. номер]],"")</f>
        <v/>
      </c>
    </row>
    <row r="26" spans="1:11" x14ac:dyDescent="0.25">
      <c r="A26" s="17" t="s">
        <v>1046</v>
      </c>
      <c r="B26" s="10" t="s">
        <v>1045</v>
      </c>
      <c r="C26" s="13" t="s">
        <v>306</v>
      </c>
      <c r="D26" s="7" t="s">
        <v>1264</v>
      </c>
      <c r="E26" s="2" t="s">
        <v>12</v>
      </c>
      <c r="F26" s="2" t="s">
        <v>13</v>
      </c>
      <c r="G26" s="31"/>
      <c r="I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" t="str">
        <f>IF(tb_zakazchik[[#This Row],[Столбец1]]&lt;&gt;"",SUM($I$2:I26),"")</f>
        <v/>
      </c>
      <c r="K26" t="str">
        <f>IF(tb_zakazchik[[#This Row],[Столбец1]]&lt;&gt;"",tb_baza[[#This Row],[Гос. номер]],"")</f>
        <v/>
      </c>
    </row>
    <row r="27" spans="1:11" x14ac:dyDescent="0.25">
      <c r="A27" s="17" t="s">
        <v>248</v>
      </c>
      <c r="B27" s="10" t="s">
        <v>49</v>
      </c>
      <c r="C27" s="13" t="s">
        <v>306</v>
      </c>
      <c r="D27" s="7" t="s">
        <v>1270</v>
      </c>
      <c r="E27" s="2" t="s">
        <v>2</v>
      </c>
      <c r="F27" s="2" t="s">
        <v>3</v>
      </c>
      <c r="G27" s="31"/>
      <c r="I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" t="str">
        <f>IF(tb_zakazchik[[#This Row],[Столбец1]]&lt;&gt;"",SUM($I$2:I27),"")</f>
        <v/>
      </c>
      <c r="K27" t="str">
        <f>IF(tb_zakazchik[[#This Row],[Столбец1]]&lt;&gt;"",tb_baza[[#This Row],[Гос. номер]],"")</f>
        <v/>
      </c>
    </row>
    <row r="28" spans="1:11" x14ac:dyDescent="0.25">
      <c r="A28" s="17" t="s">
        <v>99</v>
      </c>
      <c r="B28" s="10" t="s">
        <v>79</v>
      </c>
      <c r="C28" s="13" t="s">
        <v>306</v>
      </c>
      <c r="D28" s="7" t="s">
        <v>1276</v>
      </c>
      <c r="E28" s="2" t="s">
        <v>1307</v>
      </c>
      <c r="F28" s="2" t="s">
        <v>3</v>
      </c>
      <c r="G28" s="31"/>
      <c r="I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" t="str">
        <f>IF(tb_zakazchik[[#This Row],[Столбец1]]&lt;&gt;"",SUM($I$2:I28),"")</f>
        <v/>
      </c>
      <c r="K28" t="str">
        <f>IF(tb_zakazchik[[#This Row],[Столбец1]]&lt;&gt;"",tb_baza[[#This Row],[Гос. номер]],"")</f>
        <v/>
      </c>
    </row>
    <row r="29" spans="1:11" x14ac:dyDescent="0.25">
      <c r="A29" s="17" t="s">
        <v>1057</v>
      </c>
      <c r="B29" s="10" t="s">
        <v>79</v>
      </c>
      <c r="C29" s="13" t="s">
        <v>306</v>
      </c>
      <c r="D29" s="7" t="s">
        <v>1276</v>
      </c>
      <c r="E29" s="2" t="s">
        <v>1307</v>
      </c>
      <c r="F29" s="2" t="s">
        <v>3</v>
      </c>
      <c r="G29" s="31"/>
      <c r="I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" t="str">
        <f>IF(tb_zakazchik[[#This Row],[Столбец1]]&lt;&gt;"",SUM($I$2:I29),"")</f>
        <v/>
      </c>
      <c r="K29" t="str">
        <f>IF(tb_zakazchik[[#This Row],[Столбец1]]&lt;&gt;"",tb_baza[[#This Row],[Гос. номер]],"")</f>
        <v/>
      </c>
    </row>
    <row r="30" spans="1:11" x14ac:dyDescent="0.25">
      <c r="A30" s="17" t="s">
        <v>1106</v>
      </c>
      <c r="B30" s="10" t="s">
        <v>79</v>
      </c>
      <c r="C30" s="13" t="s">
        <v>306</v>
      </c>
      <c r="D30" s="7" t="s">
        <v>1276</v>
      </c>
      <c r="E30" s="2" t="s">
        <v>1307</v>
      </c>
      <c r="F30" s="2" t="s">
        <v>3</v>
      </c>
      <c r="G30" s="31"/>
      <c r="I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" t="str">
        <f>IF(tb_zakazchik[[#This Row],[Столбец1]]&lt;&gt;"",SUM($I$2:I30),"")</f>
        <v/>
      </c>
      <c r="K30" t="str">
        <f>IF(tb_zakazchik[[#This Row],[Столбец1]]&lt;&gt;"",tb_baza[[#This Row],[Гос. номер]],"")</f>
        <v/>
      </c>
    </row>
    <row r="31" spans="1:11" x14ac:dyDescent="0.25">
      <c r="A31" s="17" t="s">
        <v>1143</v>
      </c>
      <c r="B31" s="10" t="s">
        <v>79</v>
      </c>
      <c r="C31" s="13" t="s">
        <v>306</v>
      </c>
      <c r="D31" s="7" t="s">
        <v>1276</v>
      </c>
      <c r="E31" s="2" t="s">
        <v>1307</v>
      </c>
      <c r="F31" s="2" t="s">
        <v>13</v>
      </c>
      <c r="G31" s="31"/>
      <c r="I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" t="str">
        <f>IF(tb_zakazchik[[#This Row],[Столбец1]]&lt;&gt;"",SUM($I$2:I31),"")</f>
        <v/>
      </c>
      <c r="K31" t="str">
        <f>IF(tb_zakazchik[[#This Row],[Столбец1]]&lt;&gt;"",tb_baza[[#This Row],[Гос. номер]],"")</f>
        <v/>
      </c>
    </row>
    <row r="32" spans="1:11" x14ac:dyDescent="0.25">
      <c r="A32" s="17" t="s">
        <v>1075</v>
      </c>
      <c r="B32" s="10" t="s">
        <v>79</v>
      </c>
      <c r="C32" s="13" t="s">
        <v>306</v>
      </c>
      <c r="D32" s="7" t="s">
        <v>1276</v>
      </c>
      <c r="E32" s="2" t="s">
        <v>1307</v>
      </c>
      <c r="F32" s="2" t="s">
        <v>3</v>
      </c>
      <c r="G32" s="31"/>
      <c r="I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" t="str">
        <f>IF(tb_zakazchik[[#This Row],[Столбец1]]&lt;&gt;"",SUM($I$2:I32),"")</f>
        <v/>
      </c>
      <c r="K32" t="str">
        <f>IF(tb_zakazchik[[#This Row],[Столбец1]]&lt;&gt;"",tb_baza[[#This Row],[Гос. номер]],"")</f>
        <v/>
      </c>
    </row>
    <row r="33" spans="1:11" x14ac:dyDescent="0.25">
      <c r="A33" s="17" t="s">
        <v>269</v>
      </c>
      <c r="B33" s="10" t="s">
        <v>79</v>
      </c>
      <c r="C33" s="13" t="s">
        <v>306</v>
      </c>
      <c r="D33" s="7" t="s">
        <v>1276</v>
      </c>
      <c r="E33" s="2" t="s">
        <v>1307</v>
      </c>
      <c r="F33" s="2" t="s">
        <v>3</v>
      </c>
      <c r="G33" s="31"/>
      <c r="I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" t="str">
        <f>IF(tb_zakazchik[[#This Row],[Столбец1]]&lt;&gt;"",SUM($I$2:I33),"")</f>
        <v/>
      </c>
      <c r="K33" t="str">
        <f>IF(tb_zakazchik[[#This Row],[Столбец1]]&lt;&gt;"",tb_baza[[#This Row],[Гос. номер]],"")</f>
        <v/>
      </c>
    </row>
    <row r="34" spans="1:11" x14ac:dyDescent="0.25">
      <c r="A34" s="17" t="s">
        <v>1118</v>
      </c>
      <c r="B34" s="10" t="s">
        <v>79</v>
      </c>
      <c r="C34" s="13" t="s">
        <v>306</v>
      </c>
      <c r="D34" s="7" t="s">
        <v>1276</v>
      </c>
      <c r="E34" s="2" t="s">
        <v>1307</v>
      </c>
      <c r="F34" s="2" t="s">
        <v>6</v>
      </c>
      <c r="G34" s="31"/>
      <c r="I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" t="str">
        <f>IF(tb_zakazchik[[#This Row],[Столбец1]]&lt;&gt;"",SUM($I$2:I34),"")</f>
        <v/>
      </c>
      <c r="K34" t="str">
        <f>IF(tb_zakazchik[[#This Row],[Столбец1]]&lt;&gt;"",tb_baza[[#This Row],[Гос. номер]],"")</f>
        <v/>
      </c>
    </row>
    <row r="35" spans="1:11" x14ac:dyDescent="0.25">
      <c r="A35" s="17" t="s">
        <v>1</v>
      </c>
      <c r="B35" s="10" t="s">
        <v>0</v>
      </c>
      <c r="C35" s="13" t="s">
        <v>306</v>
      </c>
      <c r="D35" s="7" t="s">
        <v>1276</v>
      </c>
      <c r="E35" s="2" t="s">
        <v>1307</v>
      </c>
      <c r="F35" s="2" t="s">
        <v>3</v>
      </c>
      <c r="G35" s="31"/>
      <c r="I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" t="str">
        <f>IF(tb_zakazchik[[#This Row],[Столбец1]]&lt;&gt;"",SUM($I$2:I35),"")</f>
        <v/>
      </c>
      <c r="K35" t="str">
        <f>IF(tb_zakazchik[[#This Row],[Столбец1]]&lt;&gt;"",tb_baza[[#This Row],[Гос. номер]],"")</f>
        <v/>
      </c>
    </row>
    <row r="36" spans="1:11" x14ac:dyDescent="0.25">
      <c r="A36" s="17" t="s">
        <v>1177</v>
      </c>
      <c r="B36" s="10" t="s">
        <v>79</v>
      </c>
      <c r="C36" s="13" t="s">
        <v>306</v>
      </c>
      <c r="D36" s="7" t="s">
        <v>1276</v>
      </c>
      <c r="E36" s="2" t="s">
        <v>1307</v>
      </c>
      <c r="F36" s="2" t="s">
        <v>3</v>
      </c>
      <c r="G36" s="31"/>
      <c r="I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" t="str">
        <f>IF(tb_zakazchik[[#This Row],[Столбец1]]&lt;&gt;"",SUM($I$2:I36),"")</f>
        <v/>
      </c>
      <c r="K36" t="str">
        <f>IF(tb_zakazchik[[#This Row],[Столбец1]]&lt;&gt;"",tb_baza[[#This Row],[Гос. номер]],"")</f>
        <v/>
      </c>
    </row>
    <row r="37" spans="1:11" x14ac:dyDescent="0.25">
      <c r="A37" s="17" t="s">
        <v>1150</v>
      </c>
      <c r="B37" s="10" t="s">
        <v>79</v>
      </c>
      <c r="C37" s="13" t="s">
        <v>306</v>
      </c>
      <c r="D37" s="7" t="s">
        <v>1276</v>
      </c>
      <c r="E37" s="2" t="s">
        <v>1307</v>
      </c>
      <c r="F37" s="2" t="s">
        <v>3</v>
      </c>
      <c r="G37" s="31"/>
      <c r="I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" t="str">
        <f>IF(tb_zakazchik[[#This Row],[Столбец1]]&lt;&gt;"",SUM($I$2:I37),"")</f>
        <v/>
      </c>
      <c r="K37" t="str">
        <f>IF(tb_zakazchik[[#This Row],[Столбец1]]&lt;&gt;"",tb_baza[[#This Row],[Гос. номер]],"")</f>
        <v/>
      </c>
    </row>
    <row r="38" spans="1:11" x14ac:dyDescent="0.25">
      <c r="A38" s="17" t="s">
        <v>268</v>
      </c>
      <c r="B38" s="10" t="s">
        <v>79</v>
      </c>
      <c r="C38" s="13" t="s">
        <v>306</v>
      </c>
      <c r="D38" s="7" t="s">
        <v>1276</v>
      </c>
      <c r="E38" s="2" t="s">
        <v>1307</v>
      </c>
      <c r="F38" s="2" t="s">
        <v>3</v>
      </c>
      <c r="G38" s="31"/>
      <c r="I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" t="str">
        <f>IF(tb_zakazchik[[#This Row],[Столбец1]]&lt;&gt;"",SUM($I$2:I38),"")</f>
        <v/>
      </c>
      <c r="K38" t="str">
        <f>IF(tb_zakazchik[[#This Row],[Столбец1]]&lt;&gt;"",tb_baza[[#This Row],[Гос. номер]],"")</f>
        <v/>
      </c>
    </row>
    <row r="39" spans="1:11" x14ac:dyDescent="0.25">
      <c r="A39" s="17" t="s">
        <v>1173</v>
      </c>
      <c r="B39" s="10" t="s">
        <v>79</v>
      </c>
      <c r="C39" s="13" t="s">
        <v>306</v>
      </c>
      <c r="D39" s="7" t="s">
        <v>1276</v>
      </c>
      <c r="E39" s="2" t="s">
        <v>1307</v>
      </c>
      <c r="F39" s="2" t="s">
        <v>3</v>
      </c>
      <c r="G39" s="31"/>
      <c r="I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" t="str">
        <f>IF(tb_zakazchik[[#This Row],[Столбец1]]&lt;&gt;"",SUM($I$2:I39),"")</f>
        <v/>
      </c>
      <c r="K39" t="str">
        <f>IF(tb_zakazchik[[#This Row],[Столбец1]]&lt;&gt;"",tb_baza[[#This Row],[Гос. номер]],"")</f>
        <v/>
      </c>
    </row>
    <row r="40" spans="1:11" x14ac:dyDescent="0.25">
      <c r="A40" s="17" t="s">
        <v>1152</v>
      </c>
      <c r="B40" s="10" t="s">
        <v>79</v>
      </c>
      <c r="C40" s="13" t="s">
        <v>306</v>
      </c>
      <c r="D40" s="7" t="s">
        <v>1276</v>
      </c>
      <c r="E40" s="2" t="s">
        <v>1307</v>
      </c>
      <c r="F40" s="2" t="s">
        <v>3</v>
      </c>
      <c r="G40" s="31"/>
      <c r="I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" t="str">
        <f>IF(tb_zakazchik[[#This Row],[Столбец1]]&lt;&gt;"",SUM($I$2:I40),"")</f>
        <v/>
      </c>
      <c r="K40" t="str">
        <f>IF(tb_zakazchik[[#This Row],[Столбец1]]&lt;&gt;"",tb_baza[[#This Row],[Гос. номер]],"")</f>
        <v/>
      </c>
    </row>
    <row r="41" spans="1:11" x14ac:dyDescent="0.25">
      <c r="A41" s="17" t="s">
        <v>1097</v>
      </c>
      <c r="B41" s="10" t="s">
        <v>79</v>
      </c>
      <c r="C41" s="13" t="s">
        <v>306</v>
      </c>
      <c r="D41" s="7" t="s">
        <v>1276</v>
      </c>
      <c r="E41" s="2" t="s">
        <v>1307</v>
      </c>
      <c r="F41" s="2" t="s">
        <v>3</v>
      </c>
      <c r="G41" s="31"/>
      <c r="I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" t="str">
        <f>IF(tb_zakazchik[[#This Row],[Столбец1]]&lt;&gt;"",SUM($I$2:I41),"")</f>
        <v/>
      </c>
      <c r="K41" t="str">
        <f>IF(tb_zakazchik[[#This Row],[Столбец1]]&lt;&gt;"",tb_baza[[#This Row],[Гос. номер]],"")</f>
        <v/>
      </c>
    </row>
    <row r="42" spans="1:11" x14ac:dyDescent="0.25">
      <c r="A42" s="17" t="s">
        <v>1168</v>
      </c>
      <c r="B42" s="10" t="s">
        <v>79</v>
      </c>
      <c r="C42" s="13" t="s">
        <v>306</v>
      </c>
      <c r="D42" s="7" t="s">
        <v>1276</v>
      </c>
      <c r="E42" s="2" t="s">
        <v>1307</v>
      </c>
      <c r="F42" s="2" t="s">
        <v>3</v>
      </c>
      <c r="G42" s="31"/>
      <c r="I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" t="str">
        <f>IF(tb_zakazchik[[#This Row],[Столбец1]]&lt;&gt;"",SUM($I$2:I42),"")</f>
        <v/>
      </c>
      <c r="K42" t="str">
        <f>IF(tb_zakazchik[[#This Row],[Столбец1]]&lt;&gt;"",tb_baza[[#This Row],[Гос. номер]],"")</f>
        <v/>
      </c>
    </row>
    <row r="43" spans="1:11" x14ac:dyDescent="0.25">
      <c r="A43" s="17" t="s">
        <v>250</v>
      </c>
      <c r="B43" s="10" t="s">
        <v>79</v>
      </c>
      <c r="C43" s="13" t="s">
        <v>306</v>
      </c>
      <c r="D43" s="7" t="s">
        <v>1276</v>
      </c>
      <c r="E43" s="2" t="s">
        <v>1307</v>
      </c>
      <c r="F43" s="2" t="s">
        <v>3</v>
      </c>
      <c r="G43" s="31"/>
      <c r="I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" t="str">
        <f>IF(tb_zakazchik[[#This Row],[Столбец1]]&lt;&gt;"",SUM($I$2:I43),"")</f>
        <v/>
      </c>
      <c r="K43" t="str">
        <f>IF(tb_zakazchik[[#This Row],[Столбец1]]&lt;&gt;"",tb_baza[[#This Row],[Гос. номер]],"")</f>
        <v/>
      </c>
    </row>
    <row r="44" spans="1:11" x14ac:dyDescent="0.25">
      <c r="A44" s="17" t="s">
        <v>1083</v>
      </c>
      <c r="B44" s="10" t="s">
        <v>79</v>
      </c>
      <c r="C44" s="13" t="s">
        <v>306</v>
      </c>
      <c r="D44" s="7" t="s">
        <v>1276</v>
      </c>
      <c r="E44" s="2" t="s">
        <v>1307</v>
      </c>
      <c r="F44" s="2" t="s">
        <v>3</v>
      </c>
      <c r="G44" s="31"/>
      <c r="I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" t="str">
        <f>IF(tb_zakazchik[[#This Row],[Столбец1]]&lt;&gt;"",SUM($I$2:I44),"")</f>
        <v/>
      </c>
      <c r="K44" t="str">
        <f>IF(tb_zakazchik[[#This Row],[Столбец1]]&lt;&gt;"",tb_baza[[#This Row],[Гос. номер]],"")</f>
        <v/>
      </c>
    </row>
    <row r="45" spans="1:11" x14ac:dyDescent="0.25">
      <c r="A45" s="17" t="s">
        <v>1077</v>
      </c>
      <c r="B45" s="10" t="s">
        <v>79</v>
      </c>
      <c r="C45" s="13" t="s">
        <v>306</v>
      </c>
      <c r="D45" s="7" t="s">
        <v>1276</v>
      </c>
      <c r="E45" s="2" t="s">
        <v>1307</v>
      </c>
      <c r="F45" s="2" t="s">
        <v>3</v>
      </c>
      <c r="G45" s="31"/>
      <c r="I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" t="str">
        <f>IF(tb_zakazchik[[#This Row],[Столбец1]]&lt;&gt;"",SUM($I$2:I45),"")</f>
        <v/>
      </c>
      <c r="K45" t="str">
        <f>IF(tb_zakazchik[[#This Row],[Столбец1]]&lt;&gt;"",tb_baza[[#This Row],[Гос. номер]],"")</f>
        <v/>
      </c>
    </row>
    <row r="46" spans="1:11" x14ac:dyDescent="0.25">
      <c r="A46" s="17" t="s">
        <v>143</v>
      </c>
      <c r="B46" s="10" t="s">
        <v>79</v>
      </c>
      <c r="C46" s="13" t="s">
        <v>306</v>
      </c>
      <c r="D46" s="7" t="s">
        <v>1276</v>
      </c>
      <c r="E46" s="2" t="s">
        <v>1307</v>
      </c>
      <c r="F46" s="2" t="s">
        <v>6</v>
      </c>
      <c r="G46" s="31"/>
      <c r="I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" t="str">
        <f>IF(tb_zakazchik[[#This Row],[Столбец1]]&lt;&gt;"",SUM($I$2:I46),"")</f>
        <v/>
      </c>
      <c r="K46" t="str">
        <f>IF(tb_zakazchik[[#This Row],[Столбец1]]&lt;&gt;"",tb_baza[[#This Row],[Гос. номер]],"")</f>
        <v/>
      </c>
    </row>
    <row r="47" spans="1:11" x14ac:dyDescent="0.25">
      <c r="A47" s="17" t="s">
        <v>1134</v>
      </c>
      <c r="B47" s="10" t="s">
        <v>79</v>
      </c>
      <c r="C47" s="13" t="s">
        <v>306</v>
      </c>
      <c r="D47" s="7" t="s">
        <v>1276</v>
      </c>
      <c r="E47" s="2" t="s">
        <v>1307</v>
      </c>
      <c r="F47" s="2" t="s">
        <v>3</v>
      </c>
      <c r="G47" s="31"/>
      <c r="I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" t="str">
        <f>IF(tb_zakazchik[[#This Row],[Столбец1]]&lt;&gt;"",SUM($I$2:I47),"")</f>
        <v/>
      </c>
      <c r="K47" t="str">
        <f>IF(tb_zakazchik[[#This Row],[Столбец1]]&lt;&gt;"",tb_baza[[#This Row],[Гос. номер]],"")</f>
        <v/>
      </c>
    </row>
    <row r="48" spans="1:11" x14ac:dyDescent="0.25">
      <c r="A48" s="17" t="s">
        <v>1154</v>
      </c>
      <c r="B48" s="10" t="s">
        <v>79</v>
      </c>
      <c r="C48" s="13" t="s">
        <v>306</v>
      </c>
      <c r="D48" s="7" t="s">
        <v>1276</v>
      </c>
      <c r="E48" s="2" t="s">
        <v>1307</v>
      </c>
      <c r="F48" s="2" t="s">
        <v>3</v>
      </c>
      <c r="G48" s="31"/>
      <c r="I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" t="str">
        <f>IF(tb_zakazchik[[#This Row],[Столбец1]]&lt;&gt;"",SUM($I$2:I48),"")</f>
        <v/>
      </c>
      <c r="K48" t="str">
        <f>IF(tb_zakazchik[[#This Row],[Столбец1]]&lt;&gt;"",tb_baza[[#This Row],[Гос. номер]],"")</f>
        <v/>
      </c>
    </row>
    <row r="49" spans="1:11" x14ac:dyDescent="0.25">
      <c r="A49" s="17" t="s">
        <v>1180</v>
      </c>
      <c r="B49" s="10" t="s">
        <v>79</v>
      </c>
      <c r="C49" s="13" t="s">
        <v>306</v>
      </c>
      <c r="D49" s="7" t="s">
        <v>1276</v>
      </c>
      <c r="E49" s="2" t="s">
        <v>1307</v>
      </c>
      <c r="F49" s="2" t="s">
        <v>3</v>
      </c>
      <c r="G49" s="31"/>
      <c r="I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" t="str">
        <f>IF(tb_zakazchik[[#This Row],[Столбец1]]&lt;&gt;"",SUM($I$2:I49),"")</f>
        <v/>
      </c>
      <c r="K49" t="str">
        <f>IF(tb_zakazchik[[#This Row],[Столбец1]]&lt;&gt;"",tb_baza[[#This Row],[Гос. номер]],"")</f>
        <v/>
      </c>
    </row>
    <row r="50" spans="1:11" x14ac:dyDescent="0.25">
      <c r="A50" s="17" t="s">
        <v>1055</v>
      </c>
      <c r="B50" s="10" t="s">
        <v>79</v>
      </c>
      <c r="C50" s="13" t="s">
        <v>306</v>
      </c>
      <c r="D50" s="7" t="s">
        <v>1276</v>
      </c>
      <c r="E50" s="2" t="s">
        <v>1307</v>
      </c>
      <c r="F50" s="2" t="s">
        <v>3</v>
      </c>
      <c r="G50" s="31"/>
      <c r="I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" t="str">
        <f>IF(tb_zakazchik[[#This Row],[Столбец1]]&lt;&gt;"",SUM($I$2:I50),"")</f>
        <v/>
      </c>
      <c r="K50" t="str">
        <f>IF(tb_zakazchik[[#This Row],[Столбец1]]&lt;&gt;"",tb_baza[[#This Row],[Гос. номер]],"")</f>
        <v/>
      </c>
    </row>
    <row r="51" spans="1:11" x14ac:dyDescent="0.25">
      <c r="A51" s="17" t="s">
        <v>1100</v>
      </c>
      <c r="B51" s="10" t="s">
        <v>79</v>
      </c>
      <c r="C51" s="13" t="s">
        <v>306</v>
      </c>
      <c r="D51" s="7" t="s">
        <v>1276</v>
      </c>
      <c r="E51" s="2" t="s">
        <v>1307</v>
      </c>
      <c r="F51" s="2" t="s">
        <v>3</v>
      </c>
      <c r="G51" s="31"/>
      <c r="I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" t="str">
        <f>IF(tb_zakazchik[[#This Row],[Столбец1]]&lt;&gt;"",SUM($I$2:I51),"")</f>
        <v/>
      </c>
      <c r="K51" t="str">
        <f>IF(tb_zakazchik[[#This Row],[Столбец1]]&lt;&gt;"",tb_baza[[#This Row],[Гос. номер]],"")</f>
        <v/>
      </c>
    </row>
    <row r="52" spans="1:11" x14ac:dyDescent="0.25">
      <c r="A52" s="17" t="s">
        <v>1078</v>
      </c>
      <c r="B52" s="10" t="s">
        <v>79</v>
      </c>
      <c r="C52" s="13" t="s">
        <v>306</v>
      </c>
      <c r="D52" s="7" t="s">
        <v>1276</v>
      </c>
      <c r="E52" s="2" t="s">
        <v>1307</v>
      </c>
      <c r="F52" s="2" t="s">
        <v>3</v>
      </c>
      <c r="G52" s="31"/>
      <c r="I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" t="str">
        <f>IF(tb_zakazchik[[#This Row],[Столбец1]]&lt;&gt;"",SUM($I$2:I52),"")</f>
        <v/>
      </c>
      <c r="K52" t="str">
        <f>IF(tb_zakazchik[[#This Row],[Столбец1]]&lt;&gt;"",tb_baza[[#This Row],[Гос. номер]],"")</f>
        <v/>
      </c>
    </row>
    <row r="53" spans="1:11" x14ac:dyDescent="0.25">
      <c r="A53" s="17" t="s">
        <v>1174</v>
      </c>
      <c r="B53" s="10" t="s">
        <v>79</v>
      </c>
      <c r="C53" s="13" t="s">
        <v>306</v>
      </c>
      <c r="D53" s="7" t="s">
        <v>1276</v>
      </c>
      <c r="E53" s="2" t="s">
        <v>1307</v>
      </c>
      <c r="F53" s="2" t="s">
        <v>13</v>
      </c>
      <c r="G53" s="31"/>
      <c r="I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" t="str">
        <f>IF(tb_zakazchik[[#This Row],[Столбец1]]&lt;&gt;"",SUM($I$2:I53),"")</f>
        <v/>
      </c>
      <c r="K53" t="str">
        <f>IF(tb_zakazchik[[#This Row],[Столбец1]]&lt;&gt;"",tb_baza[[#This Row],[Гос. номер]],"")</f>
        <v/>
      </c>
    </row>
    <row r="54" spans="1:11" x14ac:dyDescent="0.25">
      <c r="A54" s="17" t="s">
        <v>1056</v>
      </c>
      <c r="B54" s="10" t="s">
        <v>79</v>
      </c>
      <c r="C54" s="13" t="s">
        <v>306</v>
      </c>
      <c r="D54" s="7" t="s">
        <v>1276</v>
      </c>
      <c r="E54" s="2" t="s">
        <v>1307</v>
      </c>
      <c r="F54" s="2" t="s">
        <v>3</v>
      </c>
      <c r="G54" s="31"/>
      <c r="I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" t="str">
        <f>IF(tb_zakazchik[[#This Row],[Столбец1]]&lt;&gt;"",SUM($I$2:I54),"")</f>
        <v/>
      </c>
      <c r="K54" t="str">
        <f>IF(tb_zakazchik[[#This Row],[Столбец1]]&lt;&gt;"",tb_baza[[#This Row],[Гос. номер]],"")</f>
        <v/>
      </c>
    </row>
    <row r="55" spans="1:11" x14ac:dyDescent="0.25">
      <c r="A55" s="17" t="s">
        <v>1109</v>
      </c>
      <c r="B55" s="10" t="s">
        <v>79</v>
      </c>
      <c r="C55" s="13" t="s">
        <v>306</v>
      </c>
      <c r="D55" s="7" t="s">
        <v>1276</v>
      </c>
      <c r="E55" s="2" t="s">
        <v>1307</v>
      </c>
      <c r="F55" s="2" t="s">
        <v>3</v>
      </c>
      <c r="G55" s="31"/>
      <c r="I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" t="str">
        <f>IF(tb_zakazchik[[#This Row],[Столбец1]]&lt;&gt;"",SUM($I$2:I55),"")</f>
        <v/>
      </c>
      <c r="K55" t="str">
        <f>IF(tb_zakazchik[[#This Row],[Столбец1]]&lt;&gt;"",tb_baza[[#This Row],[Гос. номер]],"")</f>
        <v/>
      </c>
    </row>
    <row r="56" spans="1:11" x14ac:dyDescent="0.25">
      <c r="A56" s="17" t="s">
        <v>1156</v>
      </c>
      <c r="B56" s="10" t="s">
        <v>79</v>
      </c>
      <c r="C56" s="13" t="s">
        <v>306</v>
      </c>
      <c r="D56" s="7" t="s">
        <v>1276</v>
      </c>
      <c r="E56" s="2" t="s">
        <v>1307</v>
      </c>
      <c r="F56" s="2" t="s">
        <v>3</v>
      </c>
      <c r="G56" s="31"/>
      <c r="I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" t="str">
        <f>IF(tb_zakazchik[[#This Row],[Столбец1]]&lt;&gt;"",SUM($I$2:I56),"")</f>
        <v/>
      </c>
      <c r="K56" t="str">
        <f>IF(tb_zakazchik[[#This Row],[Столбец1]]&lt;&gt;"",tb_baza[[#This Row],[Гос. номер]],"")</f>
        <v/>
      </c>
    </row>
    <row r="57" spans="1:11" x14ac:dyDescent="0.25">
      <c r="A57" s="17" t="s">
        <v>1133</v>
      </c>
      <c r="B57" s="10" t="s">
        <v>79</v>
      </c>
      <c r="C57" s="13" t="s">
        <v>306</v>
      </c>
      <c r="D57" s="7" t="s">
        <v>1276</v>
      </c>
      <c r="E57" s="2" t="s">
        <v>1307</v>
      </c>
      <c r="F57" s="2" t="s">
        <v>3</v>
      </c>
      <c r="G57" s="31"/>
      <c r="I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" t="str">
        <f>IF(tb_zakazchik[[#This Row],[Столбец1]]&lt;&gt;"",SUM($I$2:I57),"")</f>
        <v/>
      </c>
      <c r="K57" t="str">
        <f>IF(tb_zakazchik[[#This Row],[Столбец1]]&lt;&gt;"",tb_baza[[#This Row],[Гос. номер]],"")</f>
        <v/>
      </c>
    </row>
    <row r="58" spans="1:11" x14ac:dyDescent="0.25">
      <c r="A58" s="17" t="s">
        <v>1191</v>
      </c>
      <c r="B58" s="10" t="s">
        <v>79</v>
      </c>
      <c r="C58" s="13" t="s">
        <v>306</v>
      </c>
      <c r="D58" s="7" t="s">
        <v>1276</v>
      </c>
      <c r="E58" s="2" t="s">
        <v>1307</v>
      </c>
      <c r="F58" s="2" t="s">
        <v>3</v>
      </c>
      <c r="G58" s="31"/>
      <c r="I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" t="str">
        <f>IF(tb_zakazchik[[#This Row],[Столбец1]]&lt;&gt;"",SUM($I$2:I58),"")</f>
        <v/>
      </c>
      <c r="K58" t="str">
        <f>IF(tb_zakazchik[[#This Row],[Столбец1]]&lt;&gt;"",tb_baza[[#This Row],[Гос. номер]],"")</f>
        <v/>
      </c>
    </row>
    <row r="59" spans="1:11" x14ac:dyDescent="0.25">
      <c r="A59" s="17" t="s">
        <v>1115</v>
      </c>
      <c r="B59" s="10" t="s">
        <v>79</v>
      </c>
      <c r="C59" s="13" t="s">
        <v>306</v>
      </c>
      <c r="D59" s="7" t="s">
        <v>1276</v>
      </c>
      <c r="E59" s="2" t="s">
        <v>1307</v>
      </c>
      <c r="F59" s="2" t="s">
        <v>13</v>
      </c>
      <c r="G59" s="31"/>
      <c r="I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" t="str">
        <f>IF(tb_zakazchik[[#This Row],[Столбец1]]&lt;&gt;"",SUM($I$2:I59),"")</f>
        <v/>
      </c>
      <c r="K59" t="str">
        <f>IF(tb_zakazchik[[#This Row],[Столбец1]]&lt;&gt;"",tb_baza[[#This Row],[Гос. номер]],"")</f>
        <v/>
      </c>
    </row>
    <row r="60" spans="1:11" x14ac:dyDescent="0.25">
      <c r="A60" s="17" t="s">
        <v>1108</v>
      </c>
      <c r="B60" s="10" t="s">
        <v>79</v>
      </c>
      <c r="C60" s="13" t="s">
        <v>306</v>
      </c>
      <c r="D60" s="7" t="s">
        <v>1276</v>
      </c>
      <c r="E60" s="2" t="s">
        <v>1307</v>
      </c>
      <c r="F60" s="2" t="s">
        <v>3</v>
      </c>
      <c r="G60" s="31"/>
      <c r="I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" t="str">
        <f>IF(tb_zakazchik[[#This Row],[Столбец1]]&lt;&gt;"",SUM($I$2:I60),"")</f>
        <v/>
      </c>
      <c r="K60" t="str">
        <f>IF(tb_zakazchik[[#This Row],[Столбец1]]&lt;&gt;"",tb_baza[[#This Row],[Гос. номер]],"")</f>
        <v/>
      </c>
    </row>
    <row r="61" spans="1:11" x14ac:dyDescent="0.25">
      <c r="A61" s="17" t="s">
        <v>309</v>
      </c>
      <c r="B61" s="10" t="s">
        <v>79</v>
      </c>
      <c r="C61" s="13" t="s">
        <v>306</v>
      </c>
      <c r="D61" s="7" t="s">
        <v>1276</v>
      </c>
      <c r="E61" s="2" t="s">
        <v>1307</v>
      </c>
      <c r="F61" s="2" t="s">
        <v>6</v>
      </c>
      <c r="G61" s="31"/>
      <c r="I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" t="str">
        <f>IF(tb_zakazchik[[#This Row],[Столбец1]]&lt;&gt;"",SUM($I$2:I61),"")</f>
        <v/>
      </c>
      <c r="K61" t="str">
        <f>IF(tb_zakazchik[[#This Row],[Столбец1]]&lt;&gt;"",tb_baza[[#This Row],[Гос. номер]],"")</f>
        <v/>
      </c>
    </row>
    <row r="62" spans="1:11" x14ac:dyDescent="0.25">
      <c r="A62" s="17" t="s">
        <v>1167</v>
      </c>
      <c r="B62" s="10" t="s">
        <v>79</v>
      </c>
      <c r="C62" s="13" t="s">
        <v>306</v>
      </c>
      <c r="D62" s="7" t="s">
        <v>1276</v>
      </c>
      <c r="E62" s="2" t="s">
        <v>1307</v>
      </c>
      <c r="F62" s="2" t="s">
        <v>3</v>
      </c>
      <c r="G62" s="31"/>
      <c r="I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" t="str">
        <f>IF(tb_zakazchik[[#This Row],[Столбец1]]&lt;&gt;"",SUM($I$2:I62),"")</f>
        <v/>
      </c>
      <c r="K62" t="str">
        <f>IF(tb_zakazchik[[#This Row],[Столбец1]]&lt;&gt;"",tb_baza[[#This Row],[Гос. номер]],"")</f>
        <v/>
      </c>
    </row>
    <row r="63" spans="1:11" x14ac:dyDescent="0.25">
      <c r="A63" s="17" t="s">
        <v>1122</v>
      </c>
      <c r="B63" s="10" t="s">
        <v>79</v>
      </c>
      <c r="C63" s="13" t="s">
        <v>306</v>
      </c>
      <c r="D63" s="7" t="s">
        <v>1276</v>
      </c>
      <c r="E63" s="2" t="s">
        <v>1307</v>
      </c>
      <c r="F63" s="2" t="s">
        <v>3</v>
      </c>
      <c r="G63" s="31"/>
      <c r="I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" t="str">
        <f>IF(tb_zakazchik[[#This Row],[Столбец1]]&lt;&gt;"",SUM($I$2:I63),"")</f>
        <v/>
      </c>
      <c r="K63" t="str">
        <f>IF(tb_zakazchik[[#This Row],[Столбец1]]&lt;&gt;"",tb_baza[[#This Row],[Гос. номер]],"")</f>
        <v/>
      </c>
    </row>
    <row r="64" spans="1:11" x14ac:dyDescent="0.25">
      <c r="A64" s="17" t="s">
        <v>1123</v>
      </c>
      <c r="B64" s="10" t="s">
        <v>79</v>
      </c>
      <c r="C64" s="13" t="s">
        <v>306</v>
      </c>
      <c r="D64" s="7" t="s">
        <v>1276</v>
      </c>
      <c r="E64" s="2" t="s">
        <v>1307</v>
      </c>
      <c r="F64" s="2" t="s">
        <v>6</v>
      </c>
      <c r="G64" s="31"/>
      <c r="I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" t="str">
        <f>IF(tb_zakazchik[[#This Row],[Столбец1]]&lt;&gt;"",SUM($I$2:I64),"")</f>
        <v/>
      </c>
      <c r="K64" t="str">
        <f>IF(tb_zakazchik[[#This Row],[Столбец1]]&lt;&gt;"",tb_baza[[#This Row],[Гос. номер]],"")</f>
        <v/>
      </c>
    </row>
    <row r="65" spans="1:11" x14ac:dyDescent="0.25">
      <c r="A65" s="17" t="s">
        <v>1169</v>
      </c>
      <c r="B65" s="10" t="s">
        <v>79</v>
      </c>
      <c r="C65" s="13" t="s">
        <v>306</v>
      </c>
      <c r="D65" s="7" t="s">
        <v>1276</v>
      </c>
      <c r="E65" s="2" t="s">
        <v>1307</v>
      </c>
      <c r="F65" s="2" t="s">
        <v>6</v>
      </c>
      <c r="G65" s="31"/>
      <c r="I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" t="str">
        <f>IF(tb_zakazchik[[#This Row],[Столбец1]]&lt;&gt;"",SUM($I$2:I65),"")</f>
        <v/>
      </c>
      <c r="K65" t="str">
        <f>IF(tb_zakazchik[[#This Row],[Столбец1]]&lt;&gt;"",tb_baza[[#This Row],[Гос. номер]],"")</f>
        <v/>
      </c>
    </row>
    <row r="66" spans="1:11" x14ac:dyDescent="0.25">
      <c r="A66" s="17" t="s">
        <v>1132</v>
      </c>
      <c r="B66" s="10" t="s">
        <v>79</v>
      </c>
      <c r="C66" s="13" t="s">
        <v>306</v>
      </c>
      <c r="D66" s="7" t="s">
        <v>1276</v>
      </c>
      <c r="E66" s="2" t="s">
        <v>1307</v>
      </c>
      <c r="F66" s="2" t="s">
        <v>13</v>
      </c>
      <c r="G66" s="31"/>
      <c r="I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" t="str">
        <f>IF(tb_zakazchik[[#This Row],[Столбец1]]&lt;&gt;"",SUM($I$2:I66),"")</f>
        <v/>
      </c>
      <c r="K66" t="str">
        <f>IF(tb_zakazchik[[#This Row],[Столбец1]]&lt;&gt;"",tb_baza[[#This Row],[Гос. номер]],"")</f>
        <v/>
      </c>
    </row>
    <row r="67" spans="1:11" x14ac:dyDescent="0.25">
      <c r="A67" s="17" t="s">
        <v>1142</v>
      </c>
      <c r="B67" s="10" t="s">
        <v>79</v>
      </c>
      <c r="C67" s="13" t="s">
        <v>306</v>
      </c>
      <c r="D67" s="7" t="s">
        <v>1276</v>
      </c>
      <c r="E67" s="2" t="s">
        <v>1307</v>
      </c>
      <c r="F67" s="2" t="s">
        <v>3</v>
      </c>
      <c r="G67" s="31"/>
      <c r="I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" t="str">
        <f>IF(tb_zakazchik[[#This Row],[Столбец1]]&lt;&gt;"",SUM($I$2:I67),"")</f>
        <v/>
      </c>
      <c r="K67" t="str">
        <f>IF(tb_zakazchik[[#This Row],[Столбец1]]&lt;&gt;"",tb_baza[[#This Row],[Гос. номер]],"")</f>
        <v/>
      </c>
    </row>
    <row r="68" spans="1:11" x14ac:dyDescent="0.25">
      <c r="A68" s="17" t="s">
        <v>283</v>
      </c>
      <c r="B68" s="10" t="s">
        <v>79</v>
      </c>
      <c r="C68" s="13" t="s">
        <v>306</v>
      </c>
      <c r="D68" s="7" t="s">
        <v>1276</v>
      </c>
      <c r="E68" s="2" t="s">
        <v>1307</v>
      </c>
      <c r="F68" s="2" t="s">
        <v>6</v>
      </c>
      <c r="G68" s="31"/>
      <c r="I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" t="str">
        <f>IF(tb_zakazchik[[#This Row],[Столбец1]]&lt;&gt;"",SUM($I$2:I68),"")</f>
        <v/>
      </c>
      <c r="K68" t="str">
        <f>IF(tb_zakazchik[[#This Row],[Столбец1]]&lt;&gt;"",tb_baza[[#This Row],[Гос. номер]],"")</f>
        <v/>
      </c>
    </row>
    <row r="69" spans="1:11" x14ac:dyDescent="0.25">
      <c r="A69" s="17" t="s">
        <v>1114</v>
      </c>
      <c r="B69" s="10" t="s">
        <v>79</v>
      </c>
      <c r="C69" s="13" t="s">
        <v>306</v>
      </c>
      <c r="D69" s="7" t="s">
        <v>1276</v>
      </c>
      <c r="E69" s="2" t="s">
        <v>1307</v>
      </c>
      <c r="F69" s="2" t="s">
        <v>3</v>
      </c>
      <c r="G69" s="31"/>
      <c r="I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" t="str">
        <f>IF(tb_zakazchik[[#This Row],[Столбец1]]&lt;&gt;"",SUM($I$2:I69),"")</f>
        <v/>
      </c>
      <c r="K69" t="str">
        <f>IF(tb_zakazchik[[#This Row],[Столбец1]]&lt;&gt;"",tb_baza[[#This Row],[Гос. номер]],"")</f>
        <v/>
      </c>
    </row>
    <row r="70" spans="1:11" x14ac:dyDescent="0.25">
      <c r="A70" s="17" t="s">
        <v>1155</v>
      </c>
      <c r="B70" s="10" t="s">
        <v>79</v>
      </c>
      <c r="C70" s="13" t="s">
        <v>306</v>
      </c>
      <c r="D70" s="7" t="s">
        <v>1276</v>
      </c>
      <c r="E70" s="2" t="s">
        <v>1307</v>
      </c>
      <c r="F70" s="2" t="s">
        <v>13</v>
      </c>
      <c r="G70" s="31"/>
      <c r="I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" t="str">
        <f>IF(tb_zakazchik[[#This Row],[Столбец1]]&lt;&gt;"",SUM($I$2:I70),"")</f>
        <v/>
      </c>
      <c r="K70" t="str">
        <f>IF(tb_zakazchik[[#This Row],[Столбец1]]&lt;&gt;"",tb_baza[[#This Row],[Гос. номер]],"")</f>
        <v/>
      </c>
    </row>
    <row r="71" spans="1:11" x14ac:dyDescent="0.25">
      <c r="A71" s="17" t="s">
        <v>1093</v>
      </c>
      <c r="B71" s="10" t="s">
        <v>79</v>
      </c>
      <c r="C71" s="13" t="s">
        <v>306</v>
      </c>
      <c r="D71" s="7" t="s">
        <v>1276</v>
      </c>
      <c r="E71" s="2" t="s">
        <v>1307</v>
      </c>
      <c r="F71" s="2" t="s">
        <v>3</v>
      </c>
      <c r="G71" s="31"/>
      <c r="I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" t="str">
        <f>IF(tb_zakazchik[[#This Row],[Столбец1]]&lt;&gt;"",SUM($I$2:I71),"")</f>
        <v/>
      </c>
      <c r="K71" t="str">
        <f>IF(tb_zakazchik[[#This Row],[Столбец1]]&lt;&gt;"",tb_baza[[#This Row],[Гос. номер]],"")</f>
        <v/>
      </c>
    </row>
    <row r="72" spans="1:11" x14ac:dyDescent="0.25">
      <c r="A72" s="17" t="s">
        <v>242</v>
      </c>
      <c r="B72" s="10" t="s">
        <v>79</v>
      </c>
      <c r="C72" s="13" t="s">
        <v>306</v>
      </c>
      <c r="D72" s="7" t="s">
        <v>1276</v>
      </c>
      <c r="E72" s="2" t="s">
        <v>1307</v>
      </c>
      <c r="F72" s="2" t="s">
        <v>3</v>
      </c>
      <c r="G72" s="31"/>
      <c r="I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" t="str">
        <f>IF(tb_zakazchik[[#This Row],[Столбец1]]&lt;&gt;"",SUM($I$2:I72),"")</f>
        <v/>
      </c>
      <c r="K72" t="str">
        <f>IF(tb_zakazchik[[#This Row],[Столбец1]]&lt;&gt;"",tb_baza[[#This Row],[Гос. номер]],"")</f>
        <v/>
      </c>
    </row>
    <row r="73" spans="1:11" x14ac:dyDescent="0.25">
      <c r="A73" s="17" t="s">
        <v>1124</v>
      </c>
      <c r="B73" s="10" t="s">
        <v>79</v>
      </c>
      <c r="C73" s="13" t="s">
        <v>306</v>
      </c>
      <c r="D73" s="7" t="s">
        <v>1276</v>
      </c>
      <c r="E73" s="2" t="s">
        <v>1307</v>
      </c>
      <c r="F73" s="2" t="s">
        <v>3</v>
      </c>
      <c r="G73" s="31"/>
      <c r="I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" t="str">
        <f>IF(tb_zakazchik[[#This Row],[Столбец1]]&lt;&gt;"",SUM($I$2:I73),"")</f>
        <v/>
      </c>
      <c r="K73" t="str">
        <f>IF(tb_zakazchik[[#This Row],[Столбец1]]&lt;&gt;"",tb_baza[[#This Row],[Гос. номер]],"")</f>
        <v/>
      </c>
    </row>
    <row r="74" spans="1:11" x14ac:dyDescent="0.25">
      <c r="A74" s="17" t="s">
        <v>247</v>
      </c>
      <c r="B74" s="10" t="s">
        <v>79</v>
      </c>
      <c r="C74" s="13" t="s">
        <v>306</v>
      </c>
      <c r="D74" s="7" t="s">
        <v>1276</v>
      </c>
      <c r="E74" s="2" t="s">
        <v>1307</v>
      </c>
      <c r="F74" s="2" t="s">
        <v>3</v>
      </c>
      <c r="G74" s="31"/>
      <c r="I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" t="str">
        <f>IF(tb_zakazchik[[#This Row],[Столбец1]]&lt;&gt;"",SUM($I$2:I74),"")</f>
        <v/>
      </c>
      <c r="K74" t="str">
        <f>IF(tb_zakazchik[[#This Row],[Столбец1]]&lt;&gt;"",tb_baza[[#This Row],[Гос. номер]],"")</f>
        <v/>
      </c>
    </row>
    <row r="75" spans="1:11" x14ac:dyDescent="0.25">
      <c r="A75" s="17" t="s">
        <v>1076</v>
      </c>
      <c r="B75" s="10" t="s">
        <v>79</v>
      </c>
      <c r="C75" s="13" t="s">
        <v>306</v>
      </c>
      <c r="D75" s="7" t="s">
        <v>1276</v>
      </c>
      <c r="E75" s="2" t="s">
        <v>1307</v>
      </c>
      <c r="F75" s="2" t="s">
        <v>3</v>
      </c>
      <c r="G75" s="31"/>
      <c r="I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" t="str">
        <f>IF(tb_zakazchik[[#This Row],[Столбец1]]&lt;&gt;"",SUM($I$2:I75),"")</f>
        <v/>
      </c>
      <c r="K75" t="str">
        <f>IF(tb_zakazchik[[#This Row],[Столбец1]]&lt;&gt;"",tb_baza[[#This Row],[Гос. номер]],"")</f>
        <v/>
      </c>
    </row>
    <row r="76" spans="1:11" x14ac:dyDescent="0.25">
      <c r="A76" s="17" t="s">
        <v>1099</v>
      </c>
      <c r="B76" s="10" t="s">
        <v>79</v>
      </c>
      <c r="C76" s="13" t="s">
        <v>306</v>
      </c>
      <c r="D76" s="7" t="s">
        <v>1276</v>
      </c>
      <c r="E76" s="2" t="s">
        <v>1307</v>
      </c>
      <c r="F76" s="2" t="s">
        <v>6</v>
      </c>
      <c r="G76" s="31"/>
      <c r="I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" t="str">
        <f>IF(tb_zakazchik[[#This Row],[Столбец1]]&lt;&gt;"",SUM($I$2:I76),"")</f>
        <v/>
      </c>
      <c r="K76" t="str">
        <f>IF(tb_zakazchik[[#This Row],[Столбец1]]&lt;&gt;"",tb_baza[[#This Row],[Гос. номер]],"")</f>
        <v/>
      </c>
    </row>
    <row r="77" spans="1:11" x14ac:dyDescent="0.25">
      <c r="A77" s="17" t="s">
        <v>1105</v>
      </c>
      <c r="B77" s="10" t="s">
        <v>79</v>
      </c>
      <c r="C77" s="13" t="s">
        <v>306</v>
      </c>
      <c r="D77" s="7" t="s">
        <v>1276</v>
      </c>
      <c r="E77" s="2" t="s">
        <v>1307</v>
      </c>
      <c r="F77" s="2" t="s">
        <v>3</v>
      </c>
      <c r="G77" s="31"/>
      <c r="I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" t="str">
        <f>IF(tb_zakazchik[[#This Row],[Столбец1]]&lt;&gt;"",SUM($I$2:I77),"")</f>
        <v/>
      </c>
      <c r="K77" t="str">
        <f>IF(tb_zakazchik[[#This Row],[Столбец1]]&lt;&gt;"",tb_baza[[#This Row],[Гос. номер]],"")</f>
        <v/>
      </c>
    </row>
    <row r="78" spans="1:11" x14ac:dyDescent="0.25">
      <c r="A78" s="17" t="s">
        <v>1159</v>
      </c>
      <c r="B78" s="10" t="s">
        <v>79</v>
      </c>
      <c r="C78" s="13" t="s">
        <v>306</v>
      </c>
      <c r="D78" s="7" t="s">
        <v>1276</v>
      </c>
      <c r="E78" s="2" t="s">
        <v>1307</v>
      </c>
      <c r="F78" s="2" t="s">
        <v>3</v>
      </c>
      <c r="G78" s="31"/>
      <c r="I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" t="str">
        <f>IF(tb_zakazchik[[#This Row],[Столбец1]]&lt;&gt;"",SUM($I$2:I78),"")</f>
        <v/>
      </c>
      <c r="K78" t="str">
        <f>IF(tb_zakazchik[[#This Row],[Столбец1]]&lt;&gt;"",tb_baza[[#This Row],[Гос. номер]],"")</f>
        <v/>
      </c>
    </row>
    <row r="79" spans="1:11" x14ac:dyDescent="0.25">
      <c r="A79" s="17" t="s">
        <v>275</v>
      </c>
      <c r="B79" s="10" t="s">
        <v>79</v>
      </c>
      <c r="C79" s="13" t="s">
        <v>306</v>
      </c>
      <c r="D79" s="7" t="s">
        <v>1276</v>
      </c>
      <c r="E79" s="2" t="s">
        <v>1307</v>
      </c>
      <c r="F79" s="2" t="s">
        <v>3</v>
      </c>
      <c r="G79" s="31"/>
      <c r="I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" t="str">
        <f>IF(tb_zakazchik[[#This Row],[Столбец1]]&lt;&gt;"",SUM($I$2:I79),"")</f>
        <v/>
      </c>
      <c r="K79" t="str">
        <f>IF(tb_zakazchik[[#This Row],[Столбец1]]&lt;&gt;"",tb_baza[[#This Row],[Гос. номер]],"")</f>
        <v/>
      </c>
    </row>
    <row r="80" spans="1:11" x14ac:dyDescent="0.25">
      <c r="A80" s="17" t="s">
        <v>1080</v>
      </c>
      <c r="B80" s="10" t="s">
        <v>79</v>
      </c>
      <c r="C80" s="13" t="s">
        <v>306</v>
      </c>
      <c r="D80" s="7" t="s">
        <v>1276</v>
      </c>
      <c r="E80" s="2" t="s">
        <v>1307</v>
      </c>
      <c r="F80" s="2" t="s">
        <v>3</v>
      </c>
      <c r="G80" s="31"/>
      <c r="I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" t="str">
        <f>IF(tb_zakazchik[[#This Row],[Столбец1]]&lt;&gt;"",SUM($I$2:I80),"")</f>
        <v/>
      </c>
      <c r="K80" t="str">
        <f>IF(tb_zakazchik[[#This Row],[Столбец1]]&lt;&gt;"",tb_baza[[#This Row],[Гос. номер]],"")</f>
        <v/>
      </c>
    </row>
    <row r="81" spans="1:11" x14ac:dyDescent="0.25">
      <c r="A81" s="17" t="s">
        <v>1065</v>
      </c>
      <c r="B81" s="10" t="s">
        <v>79</v>
      </c>
      <c r="C81" s="13" t="s">
        <v>306</v>
      </c>
      <c r="D81" s="7" t="s">
        <v>1276</v>
      </c>
      <c r="E81" s="2" t="s">
        <v>2</v>
      </c>
      <c r="F81" s="2" t="s">
        <v>3</v>
      </c>
      <c r="G81" s="31"/>
      <c r="I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" t="str">
        <f>IF(tb_zakazchik[[#This Row],[Столбец1]]&lt;&gt;"",SUM($I$2:I81),"")</f>
        <v/>
      </c>
      <c r="K81" t="str">
        <f>IF(tb_zakazchik[[#This Row],[Столбец1]]&lt;&gt;"",tb_baza[[#This Row],[Гос. номер]],"")</f>
        <v/>
      </c>
    </row>
    <row r="82" spans="1:11" x14ac:dyDescent="0.25">
      <c r="A82" s="17" t="s">
        <v>305</v>
      </c>
      <c r="B82" s="10" t="s">
        <v>79</v>
      </c>
      <c r="C82" s="13" t="s">
        <v>306</v>
      </c>
      <c r="D82" s="7" t="s">
        <v>1276</v>
      </c>
      <c r="E82" s="2" t="s">
        <v>2</v>
      </c>
      <c r="F82" s="2" t="s">
        <v>3</v>
      </c>
      <c r="G82" s="31"/>
      <c r="I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" t="str">
        <f>IF(tb_zakazchik[[#This Row],[Столбец1]]&lt;&gt;"",SUM($I$2:I82),"")</f>
        <v/>
      </c>
      <c r="K82" t="str">
        <f>IF(tb_zakazchik[[#This Row],[Столбец1]]&lt;&gt;"",tb_baza[[#This Row],[Гос. номер]],"")</f>
        <v/>
      </c>
    </row>
    <row r="83" spans="1:11" x14ac:dyDescent="0.25">
      <c r="A83" s="17" t="s">
        <v>1146</v>
      </c>
      <c r="B83" s="10" t="s">
        <v>79</v>
      </c>
      <c r="C83" s="13" t="s">
        <v>306</v>
      </c>
      <c r="D83" s="7" t="s">
        <v>1276</v>
      </c>
      <c r="E83" s="2" t="s">
        <v>2</v>
      </c>
      <c r="F83" s="2" t="s">
        <v>6</v>
      </c>
      <c r="G83" s="31"/>
      <c r="I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" t="str">
        <f>IF(tb_zakazchik[[#This Row],[Столбец1]]&lt;&gt;"",SUM($I$2:I83),"")</f>
        <v/>
      </c>
      <c r="K83" t="str">
        <f>IF(tb_zakazchik[[#This Row],[Столбец1]]&lt;&gt;"",tb_baza[[#This Row],[Гос. номер]],"")</f>
        <v/>
      </c>
    </row>
    <row r="84" spans="1:11" x14ac:dyDescent="0.25">
      <c r="A84" s="17" t="s">
        <v>920</v>
      </c>
      <c r="B84" s="10" t="s">
        <v>132</v>
      </c>
      <c r="C84" s="13" t="s">
        <v>306</v>
      </c>
      <c r="D84" s="7" t="s">
        <v>1276</v>
      </c>
      <c r="E84" s="2" t="s">
        <v>12</v>
      </c>
      <c r="F84" s="2" t="s">
        <v>13</v>
      </c>
      <c r="G84" s="31"/>
      <c r="I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" t="str">
        <f>IF(tb_zakazchik[[#This Row],[Столбец1]]&lt;&gt;"",SUM($I$2:I84),"")</f>
        <v/>
      </c>
      <c r="K84" t="str">
        <f>IF(tb_zakazchik[[#This Row],[Столбец1]]&lt;&gt;"",tb_baza[[#This Row],[Гос. номер]],"")</f>
        <v/>
      </c>
    </row>
    <row r="85" spans="1:11" x14ac:dyDescent="0.25">
      <c r="A85" s="17" t="s">
        <v>919</v>
      </c>
      <c r="B85" s="10" t="s">
        <v>132</v>
      </c>
      <c r="C85" s="13" t="s">
        <v>306</v>
      </c>
      <c r="D85" s="7" t="s">
        <v>1276</v>
      </c>
      <c r="E85" s="2" t="s">
        <v>12</v>
      </c>
      <c r="F85" s="2" t="s">
        <v>13</v>
      </c>
      <c r="G85" s="31"/>
      <c r="I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" t="str">
        <f>IF(tb_zakazchik[[#This Row],[Столбец1]]&lt;&gt;"",SUM($I$2:I85),"")</f>
        <v/>
      </c>
      <c r="K85" t="str">
        <f>IF(tb_zakazchik[[#This Row],[Столбец1]]&lt;&gt;"",tb_baza[[#This Row],[Гос. номер]],"")</f>
        <v/>
      </c>
    </row>
    <row r="86" spans="1:11" x14ac:dyDescent="0.25">
      <c r="A86" s="17" t="s">
        <v>918</v>
      </c>
      <c r="B86" s="10" t="s">
        <v>132</v>
      </c>
      <c r="C86" s="13" t="s">
        <v>306</v>
      </c>
      <c r="D86" s="7" t="s">
        <v>1276</v>
      </c>
      <c r="E86" s="2" t="s">
        <v>12</v>
      </c>
      <c r="F86" s="2" t="s">
        <v>13</v>
      </c>
      <c r="G86" s="31"/>
      <c r="I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" t="str">
        <f>IF(tb_zakazchik[[#This Row],[Столбец1]]&lt;&gt;"",SUM($I$2:I86),"")</f>
        <v/>
      </c>
      <c r="K86" t="str">
        <f>IF(tb_zakazchik[[#This Row],[Столбец1]]&lt;&gt;"",tb_baza[[#This Row],[Гос. номер]],"")</f>
        <v/>
      </c>
    </row>
    <row r="87" spans="1:11" x14ac:dyDescent="0.25">
      <c r="A87" s="17" t="s">
        <v>917</v>
      </c>
      <c r="B87" s="10" t="s">
        <v>132</v>
      </c>
      <c r="C87" s="13" t="s">
        <v>306</v>
      </c>
      <c r="D87" s="7" t="s">
        <v>1276</v>
      </c>
      <c r="E87" s="2" t="s">
        <v>12</v>
      </c>
      <c r="F87" s="2" t="s">
        <v>13</v>
      </c>
      <c r="G87" s="31"/>
      <c r="I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" t="str">
        <f>IF(tb_zakazchik[[#This Row],[Столбец1]]&lt;&gt;"",SUM($I$2:I87),"")</f>
        <v/>
      </c>
      <c r="K87" t="str">
        <f>IF(tb_zakazchik[[#This Row],[Столбец1]]&lt;&gt;"",tb_baza[[#This Row],[Гос. номер]],"")</f>
        <v/>
      </c>
    </row>
    <row r="88" spans="1:11" x14ac:dyDescent="0.25">
      <c r="A88" s="17" t="s">
        <v>267</v>
      </c>
      <c r="B88" s="10" t="s">
        <v>132</v>
      </c>
      <c r="C88" s="13" t="s">
        <v>306</v>
      </c>
      <c r="D88" s="7" t="s">
        <v>1276</v>
      </c>
      <c r="E88" s="2" t="s">
        <v>12</v>
      </c>
      <c r="F88" s="2" t="s">
        <v>13</v>
      </c>
      <c r="G88" s="31"/>
      <c r="I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" t="str">
        <f>IF(tb_zakazchik[[#This Row],[Столбец1]]&lt;&gt;"",SUM($I$2:I88),"")</f>
        <v/>
      </c>
      <c r="K88" t="str">
        <f>IF(tb_zakazchik[[#This Row],[Столбец1]]&lt;&gt;"",tb_baza[[#This Row],[Гос. номер]],"")</f>
        <v/>
      </c>
    </row>
    <row r="89" spans="1:11" x14ac:dyDescent="0.25">
      <c r="A89" s="17" t="s">
        <v>604</v>
      </c>
      <c r="B89" s="10" t="s">
        <v>32</v>
      </c>
      <c r="C89" s="13" t="s">
        <v>306</v>
      </c>
      <c r="D89" s="7" t="s">
        <v>32</v>
      </c>
      <c r="E89" s="2" t="s">
        <v>1307</v>
      </c>
      <c r="F89" s="2" t="s">
        <v>6</v>
      </c>
      <c r="G89" s="31"/>
      <c r="I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" t="str">
        <f>IF(tb_zakazchik[[#This Row],[Столбец1]]&lt;&gt;"",SUM($I$2:I89),"")</f>
        <v/>
      </c>
      <c r="K89" t="str">
        <f>IF(tb_zakazchik[[#This Row],[Столбец1]]&lt;&gt;"",tb_baza[[#This Row],[Гос. номер]],"")</f>
        <v/>
      </c>
    </row>
    <row r="90" spans="1:11" x14ac:dyDescent="0.25">
      <c r="A90" s="17" t="s">
        <v>33</v>
      </c>
      <c r="B90" s="10" t="s">
        <v>32</v>
      </c>
      <c r="C90" s="13" t="s">
        <v>306</v>
      </c>
      <c r="D90" s="7" t="s">
        <v>32</v>
      </c>
      <c r="E90" s="2" t="s">
        <v>2</v>
      </c>
      <c r="F90" s="2" t="s">
        <v>6</v>
      </c>
      <c r="G90" s="31"/>
      <c r="I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" t="str">
        <f>IF(tb_zakazchik[[#This Row],[Столбец1]]&lt;&gt;"",SUM($I$2:I90),"")</f>
        <v/>
      </c>
      <c r="K90" t="str">
        <f>IF(tb_zakazchik[[#This Row],[Столбец1]]&lt;&gt;"",tb_baza[[#This Row],[Гос. номер]],"")</f>
        <v/>
      </c>
    </row>
    <row r="91" spans="1:11" x14ac:dyDescent="0.25">
      <c r="A91" s="17" t="s">
        <v>1029</v>
      </c>
      <c r="B91" s="10" t="s">
        <v>32</v>
      </c>
      <c r="C91" s="13" t="s">
        <v>306</v>
      </c>
      <c r="D91" s="7" t="s">
        <v>32</v>
      </c>
      <c r="E91" s="2" t="s">
        <v>2</v>
      </c>
      <c r="F91" s="2" t="s">
        <v>6</v>
      </c>
      <c r="G91" s="31"/>
      <c r="I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" t="str">
        <f>IF(tb_zakazchik[[#This Row],[Столбец1]]&lt;&gt;"",SUM($I$2:I91),"")</f>
        <v/>
      </c>
      <c r="K91" t="str">
        <f>IF(tb_zakazchik[[#This Row],[Столбец1]]&lt;&gt;"",tb_baza[[#This Row],[Гос. номер]],"")</f>
        <v/>
      </c>
    </row>
    <row r="92" spans="1:11" x14ac:dyDescent="0.25">
      <c r="A92" s="17" t="s">
        <v>743</v>
      </c>
      <c r="B92" s="10" t="s">
        <v>32</v>
      </c>
      <c r="C92" s="13" t="s">
        <v>306</v>
      </c>
      <c r="D92" s="7" t="s">
        <v>32</v>
      </c>
      <c r="E92" s="2" t="s">
        <v>2</v>
      </c>
      <c r="F92" s="2" t="s">
        <v>6</v>
      </c>
      <c r="G92" s="31"/>
      <c r="I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" t="str">
        <f>IF(tb_zakazchik[[#This Row],[Столбец1]]&lt;&gt;"",SUM($I$2:I92),"")</f>
        <v/>
      </c>
      <c r="K92" t="str">
        <f>IF(tb_zakazchik[[#This Row],[Столбец1]]&lt;&gt;"",tb_baza[[#This Row],[Гос. номер]],"")</f>
        <v/>
      </c>
    </row>
    <row r="93" spans="1:11" x14ac:dyDescent="0.25">
      <c r="A93" s="17" t="s">
        <v>742</v>
      </c>
      <c r="B93" s="10" t="s">
        <v>32</v>
      </c>
      <c r="C93" s="13" t="s">
        <v>306</v>
      </c>
      <c r="D93" s="7" t="s">
        <v>32</v>
      </c>
      <c r="E93" s="2" t="s">
        <v>2</v>
      </c>
      <c r="F93" s="2" t="s">
        <v>6</v>
      </c>
      <c r="G93" s="31"/>
      <c r="I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" t="str">
        <f>IF(tb_zakazchik[[#This Row],[Столбец1]]&lt;&gt;"",SUM($I$2:I93),"")</f>
        <v/>
      </c>
      <c r="K93" t="str">
        <f>IF(tb_zakazchik[[#This Row],[Столбец1]]&lt;&gt;"",tb_baza[[#This Row],[Гос. номер]],"")</f>
        <v/>
      </c>
    </row>
    <row r="94" spans="1:11" x14ac:dyDescent="0.25">
      <c r="A94" s="17" t="s">
        <v>735</v>
      </c>
      <c r="B94" s="10" t="s">
        <v>733</v>
      </c>
      <c r="C94" s="13" t="s">
        <v>306</v>
      </c>
      <c r="D94" s="7" t="s">
        <v>1277</v>
      </c>
      <c r="E94" s="2" t="s">
        <v>1307</v>
      </c>
      <c r="F94" s="2" t="s">
        <v>13</v>
      </c>
      <c r="G94" s="31"/>
      <c r="I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" t="str">
        <f>IF(tb_zakazchik[[#This Row],[Столбец1]]&lt;&gt;"",SUM($I$2:I94),"")</f>
        <v/>
      </c>
      <c r="K94" t="str">
        <f>IF(tb_zakazchik[[#This Row],[Столбец1]]&lt;&gt;"",tb_baza[[#This Row],[Гос. номер]],"")</f>
        <v/>
      </c>
    </row>
    <row r="95" spans="1:11" x14ac:dyDescent="0.25">
      <c r="A95" s="17" t="s">
        <v>734</v>
      </c>
      <c r="B95" s="10" t="s">
        <v>733</v>
      </c>
      <c r="C95" s="13" t="s">
        <v>306</v>
      </c>
      <c r="D95" s="7" t="s">
        <v>1277</v>
      </c>
      <c r="E95" s="2" t="s">
        <v>2</v>
      </c>
      <c r="F95" s="2" t="s">
        <v>13</v>
      </c>
      <c r="G95" s="31"/>
      <c r="I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" t="str">
        <f>IF(tb_zakazchik[[#This Row],[Столбец1]]&lt;&gt;"",SUM($I$2:I95),"")</f>
        <v/>
      </c>
      <c r="K95" t="str">
        <f>IF(tb_zakazchik[[#This Row],[Столбец1]]&lt;&gt;"",tb_baza[[#This Row],[Гос. номер]],"")</f>
        <v/>
      </c>
    </row>
    <row r="96" spans="1:11" x14ac:dyDescent="0.25">
      <c r="A96" s="17" t="s">
        <v>937</v>
      </c>
      <c r="B96" s="10" t="s">
        <v>107</v>
      </c>
      <c r="C96" s="13" t="s">
        <v>306</v>
      </c>
      <c r="D96" s="7" t="s">
        <v>1293</v>
      </c>
      <c r="E96" s="2" t="s">
        <v>1307</v>
      </c>
      <c r="F96" s="2" t="s">
        <v>6</v>
      </c>
      <c r="G96" s="31"/>
      <c r="I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" t="str">
        <f>IF(tb_zakazchik[[#This Row],[Столбец1]]&lt;&gt;"",SUM($I$2:I96),"")</f>
        <v/>
      </c>
      <c r="K96" t="str">
        <f>IF(tb_zakazchik[[#This Row],[Столбец1]]&lt;&gt;"",tb_baza[[#This Row],[Гос. номер]],"")</f>
        <v/>
      </c>
    </row>
    <row r="97" spans="1:11" x14ac:dyDescent="0.25">
      <c r="A97" s="17" t="s">
        <v>203</v>
      </c>
      <c r="B97" s="10" t="s">
        <v>97</v>
      </c>
      <c r="C97" s="13" t="s">
        <v>306</v>
      </c>
      <c r="D97" s="7" t="s">
        <v>1293</v>
      </c>
      <c r="E97" s="2" t="s">
        <v>1307</v>
      </c>
      <c r="F97" s="2" t="s">
        <v>6</v>
      </c>
      <c r="G97" s="31"/>
      <c r="I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" t="str">
        <f>IF(tb_zakazchik[[#This Row],[Столбец1]]&lt;&gt;"",SUM($I$2:I97),"")</f>
        <v/>
      </c>
      <c r="K97" t="str">
        <f>IF(tb_zakazchik[[#This Row],[Столбец1]]&lt;&gt;"",tb_baza[[#This Row],[Гос. номер]],"")</f>
        <v/>
      </c>
    </row>
    <row r="98" spans="1:11" x14ac:dyDescent="0.25">
      <c r="A98" s="17" t="s">
        <v>1050</v>
      </c>
      <c r="B98" s="10" t="s">
        <v>107</v>
      </c>
      <c r="C98" s="13" t="s">
        <v>306</v>
      </c>
      <c r="D98" s="7" t="s">
        <v>1293</v>
      </c>
      <c r="E98" s="2" t="s">
        <v>1307</v>
      </c>
      <c r="F98" s="2" t="s">
        <v>6</v>
      </c>
      <c r="G98" s="31"/>
      <c r="I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" t="str">
        <f>IF(tb_zakazchik[[#This Row],[Столбец1]]&lt;&gt;"",SUM($I$2:I98),"")</f>
        <v/>
      </c>
      <c r="K98" t="str">
        <f>IF(tb_zakazchik[[#This Row],[Столбец1]]&lt;&gt;"",tb_baza[[#This Row],[Гос. номер]],"")</f>
        <v/>
      </c>
    </row>
    <row r="99" spans="1:11" x14ac:dyDescent="0.25">
      <c r="A99" s="17" t="s">
        <v>803</v>
      </c>
      <c r="B99" s="10" t="s">
        <v>97</v>
      </c>
      <c r="C99" s="13" t="s">
        <v>306</v>
      </c>
      <c r="D99" s="7" t="s">
        <v>1293</v>
      </c>
      <c r="E99" s="2" t="s">
        <v>1307</v>
      </c>
      <c r="F99" s="2" t="s">
        <v>13</v>
      </c>
      <c r="G99" s="31"/>
      <c r="I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" t="str">
        <f>IF(tb_zakazchik[[#This Row],[Столбец1]]&lt;&gt;"",SUM($I$2:I99),"")</f>
        <v/>
      </c>
      <c r="K99" t="str">
        <f>IF(tb_zakazchik[[#This Row],[Столбец1]]&lt;&gt;"",tb_baza[[#This Row],[Гос. номер]],"")</f>
        <v/>
      </c>
    </row>
    <row r="100" spans="1:11" x14ac:dyDescent="0.25">
      <c r="A100" s="17" t="s">
        <v>606</v>
      </c>
      <c r="B100" s="10" t="s">
        <v>605</v>
      </c>
      <c r="C100" s="13" t="s">
        <v>306</v>
      </c>
      <c r="D100" s="7" t="s">
        <v>1293</v>
      </c>
      <c r="E100" s="2" t="s">
        <v>1307</v>
      </c>
      <c r="F100" s="2" t="s">
        <v>13</v>
      </c>
      <c r="G100" s="31"/>
      <c r="I1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" t="str">
        <f>IF(tb_zakazchik[[#This Row],[Столбец1]]&lt;&gt;"",SUM($I$2:I100),"")</f>
        <v/>
      </c>
      <c r="K100" t="str">
        <f>IF(tb_zakazchik[[#This Row],[Столбец1]]&lt;&gt;"",tb_baza[[#This Row],[Гос. номер]],"")</f>
        <v/>
      </c>
    </row>
    <row r="101" spans="1:11" x14ac:dyDescent="0.25">
      <c r="A101" s="17" t="s">
        <v>591</v>
      </c>
      <c r="B101" s="10" t="s">
        <v>97</v>
      </c>
      <c r="C101" s="13" t="s">
        <v>306</v>
      </c>
      <c r="D101" s="7" t="s">
        <v>1293</v>
      </c>
      <c r="E101" s="2" t="s">
        <v>1307</v>
      </c>
      <c r="F101" s="2" t="s">
        <v>13</v>
      </c>
      <c r="G101" s="31"/>
      <c r="I1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" t="str">
        <f>IF(tb_zakazchik[[#This Row],[Столбец1]]&lt;&gt;"",SUM($I$2:I101),"")</f>
        <v/>
      </c>
      <c r="K101" t="str">
        <f>IF(tb_zakazchik[[#This Row],[Столбец1]]&lt;&gt;"",tb_baza[[#This Row],[Гос. номер]],"")</f>
        <v/>
      </c>
    </row>
    <row r="102" spans="1:11" x14ac:dyDescent="0.25">
      <c r="A102" s="17" t="s">
        <v>962</v>
      </c>
      <c r="B102" s="10" t="s">
        <v>97</v>
      </c>
      <c r="C102" s="13" t="s">
        <v>306</v>
      </c>
      <c r="D102" s="7" t="s">
        <v>1293</v>
      </c>
      <c r="E102" s="2" t="s">
        <v>1307</v>
      </c>
      <c r="F102" s="2" t="s">
        <v>13</v>
      </c>
      <c r="G102" s="31"/>
      <c r="I1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" t="str">
        <f>IF(tb_zakazchik[[#This Row],[Столбец1]]&lt;&gt;"",SUM($I$2:I102),"")</f>
        <v/>
      </c>
      <c r="K102" t="str">
        <f>IF(tb_zakazchik[[#This Row],[Столбец1]]&lt;&gt;"",tb_baza[[#This Row],[Гос. номер]],"")</f>
        <v/>
      </c>
    </row>
    <row r="103" spans="1:11" x14ac:dyDescent="0.25">
      <c r="A103" s="17" t="s">
        <v>603</v>
      </c>
      <c r="B103" s="10" t="s">
        <v>97</v>
      </c>
      <c r="C103" s="13" t="s">
        <v>306</v>
      </c>
      <c r="D103" s="7" t="s">
        <v>1293</v>
      </c>
      <c r="E103" s="2" t="s">
        <v>1307</v>
      </c>
      <c r="F103" s="2" t="s">
        <v>13</v>
      </c>
      <c r="G103" s="31"/>
      <c r="I1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3" t="str">
        <f>IF(tb_zakazchik[[#This Row],[Столбец1]]&lt;&gt;"",SUM($I$2:I103),"")</f>
        <v/>
      </c>
      <c r="K103" t="str">
        <f>IF(tb_zakazchik[[#This Row],[Столбец1]]&lt;&gt;"",tb_baza[[#This Row],[Гос. номер]],"")</f>
        <v/>
      </c>
    </row>
    <row r="104" spans="1:11" x14ac:dyDescent="0.25">
      <c r="A104" s="17" t="s">
        <v>639</v>
      </c>
      <c r="B104" s="10" t="s">
        <v>97</v>
      </c>
      <c r="C104" s="13" t="s">
        <v>306</v>
      </c>
      <c r="D104" s="7" t="s">
        <v>1293</v>
      </c>
      <c r="E104" s="2" t="s">
        <v>1307</v>
      </c>
      <c r="F104" s="2" t="s">
        <v>13</v>
      </c>
      <c r="G104" s="31"/>
      <c r="I1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4" t="str">
        <f>IF(tb_zakazchik[[#This Row],[Столбец1]]&lt;&gt;"",SUM($I$2:I104),"")</f>
        <v/>
      </c>
      <c r="K104" t="str">
        <f>IF(tb_zakazchik[[#This Row],[Столбец1]]&lt;&gt;"",tb_baza[[#This Row],[Гос. номер]],"")</f>
        <v/>
      </c>
    </row>
    <row r="105" spans="1:11" x14ac:dyDescent="0.25">
      <c r="A105" s="17" t="s">
        <v>1040</v>
      </c>
      <c r="B105" s="10" t="s">
        <v>371</v>
      </c>
      <c r="C105" s="13" t="s">
        <v>306</v>
      </c>
      <c r="D105" s="7" t="s">
        <v>1293</v>
      </c>
      <c r="E105" s="3"/>
      <c r="F105" s="2" t="s">
        <v>13</v>
      </c>
      <c r="G105" s="31"/>
      <c r="I1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5" t="str">
        <f>IF(tb_zakazchik[[#This Row],[Столбец1]]&lt;&gt;"",SUM($I$2:I105),"")</f>
        <v/>
      </c>
      <c r="K105" t="str">
        <f>IF(tb_zakazchik[[#This Row],[Столбец1]]&lt;&gt;"",tb_baza[[#This Row],[Гос. номер]],"")</f>
        <v/>
      </c>
    </row>
    <row r="106" spans="1:11" x14ac:dyDescent="0.25">
      <c r="A106" s="17" t="s">
        <v>1041</v>
      </c>
      <c r="B106" s="10" t="s">
        <v>371</v>
      </c>
      <c r="C106" s="13" t="s">
        <v>306</v>
      </c>
      <c r="D106" s="7" t="s">
        <v>1293</v>
      </c>
      <c r="E106" s="3"/>
      <c r="F106" s="2" t="s">
        <v>13</v>
      </c>
      <c r="G106" s="31"/>
      <c r="I1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6" t="str">
        <f>IF(tb_zakazchik[[#This Row],[Столбец1]]&lt;&gt;"",SUM($I$2:I106),"")</f>
        <v/>
      </c>
      <c r="K106" t="str">
        <f>IF(tb_zakazchik[[#This Row],[Столбец1]]&lt;&gt;"",tb_baza[[#This Row],[Гос. номер]],"")</f>
        <v/>
      </c>
    </row>
    <row r="107" spans="1:11" x14ac:dyDescent="0.25">
      <c r="A107" s="17" t="s">
        <v>1043</v>
      </c>
      <c r="B107" s="10" t="s">
        <v>371</v>
      </c>
      <c r="C107" s="13" t="s">
        <v>306</v>
      </c>
      <c r="D107" s="7" t="s">
        <v>1293</v>
      </c>
      <c r="E107" s="3"/>
      <c r="F107" s="2" t="s">
        <v>13</v>
      </c>
      <c r="G107" s="31"/>
      <c r="I1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7" t="str">
        <f>IF(tb_zakazchik[[#This Row],[Столбец1]]&lt;&gt;"",SUM($I$2:I107),"")</f>
        <v/>
      </c>
      <c r="K107" t="str">
        <f>IF(tb_zakazchik[[#This Row],[Столбец1]]&lt;&gt;"",tb_baza[[#This Row],[Гос. номер]],"")</f>
        <v/>
      </c>
    </row>
    <row r="108" spans="1:11" x14ac:dyDescent="0.25">
      <c r="A108" s="17" t="s">
        <v>1042</v>
      </c>
      <c r="B108" s="10" t="s">
        <v>371</v>
      </c>
      <c r="C108" s="13" t="s">
        <v>306</v>
      </c>
      <c r="D108" s="7" t="s">
        <v>1293</v>
      </c>
      <c r="E108" s="3"/>
      <c r="F108" s="2" t="s">
        <v>13</v>
      </c>
      <c r="G108" s="31"/>
      <c r="I1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8" t="str">
        <f>IF(tb_zakazchik[[#This Row],[Столбец1]]&lt;&gt;"",SUM($I$2:I108),"")</f>
        <v/>
      </c>
      <c r="K108" t="str">
        <f>IF(tb_zakazchik[[#This Row],[Столбец1]]&lt;&gt;"",tb_baza[[#This Row],[Гос. номер]],"")</f>
        <v/>
      </c>
    </row>
    <row r="109" spans="1:11" x14ac:dyDescent="0.25">
      <c r="A109" s="17" t="s">
        <v>1039</v>
      </c>
      <c r="B109" s="10" t="s">
        <v>371</v>
      </c>
      <c r="C109" s="13" t="s">
        <v>306</v>
      </c>
      <c r="D109" s="7" t="s">
        <v>1293</v>
      </c>
      <c r="E109" s="3"/>
      <c r="F109" s="2" t="s">
        <v>6</v>
      </c>
      <c r="G109" s="31"/>
      <c r="I1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9" t="str">
        <f>IF(tb_zakazchik[[#This Row],[Столбец1]]&lt;&gt;"",SUM($I$2:I109),"")</f>
        <v/>
      </c>
      <c r="K109" t="str">
        <f>IF(tb_zakazchik[[#This Row],[Столбец1]]&lt;&gt;"",tb_baza[[#This Row],[Гос. номер]],"")</f>
        <v/>
      </c>
    </row>
    <row r="110" spans="1:11" x14ac:dyDescent="0.25">
      <c r="A110" s="17" t="s">
        <v>1044</v>
      </c>
      <c r="B110" s="10" t="s">
        <v>371</v>
      </c>
      <c r="C110" s="13" t="s">
        <v>306</v>
      </c>
      <c r="D110" s="7" t="s">
        <v>1293</v>
      </c>
      <c r="E110" s="3"/>
      <c r="F110" s="2" t="s">
        <v>13</v>
      </c>
      <c r="G110" s="31"/>
      <c r="I1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0" t="str">
        <f>IF(tb_zakazchik[[#This Row],[Столбец1]]&lt;&gt;"",SUM($I$2:I110),"")</f>
        <v/>
      </c>
      <c r="K110" t="str">
        <f>IF(tb_zakazchik[[#This Row],[Столбец1]]&lt;&gt;"",tb_baza[[#This Row],[Гос. номер]],"")</f>
        <v/>
      </c>
    </row>
    <row r="111" spans="1:11" x14ac:dyDescent="0.25">
      <c r="A111" s="17" t="s">
        <v>465</v>
      </c>
      <c r="B111" s="10" t="s">
        <v>9</v>
      </c>
      <c r="C111" s="13" t="s">
        <v>306</v>
      </c>
      <c r="D111" s="7" t="s">
        <v>1294</v>
      </c>
      <c r="E111" s="2" t="s">
        <v>1307</v>
      </c>
      <c r="F111" s="2" t="s">
        <v>6</v>
      </c>
      <c r="G111" s="31"/>
      <c r="I1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1" t="str">
        <f>IF(tb_zakazchik[[#This Row],[Столбец1]]&lt;&gt;"",SUM($I$2:I111),"")</f>
        <v/>
      </c>
      <c r="K111" t="str">
        <f>IF(tb_zakazchik[[#This Row],[Столбец1]]&lt;&gt;"",tb_baza[[#This Row],[Гос. номер]],"")</f>
        <v/>
      </c>
    </row>
    <row r="112" spans="1:11" x14ac:dyDescent="0.25">
      <c r="A112" s="17" t="s">
        <v>684</v>
      </c>
      <c r="B112" s="10" t="s">
        <v>9</v>
      </c>
      <c r="C112" s="13" t="s">
        <v>306</v>
      </c>
      <c r="D112" s="7" t="s">
        <v>1294</v>
      </c>
      <c r="E112" s="3"/>
      <c r="F112" s="2" t="s">
        <v>13</v>
      </c>
      <c r="G112" s="31"/>
      <c r="I1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2" t="str">
        <f>IF(tb_zakazchik[[#This Row],[Столбец1]]&lt;&gt;"",SUM($I$2:I112),"")</f>
        <v/>
      </c>
      <c r="K112" t="str">
        <f>IF(tb_zakazchik[[#This Row],[Столбец1]]&lt;&gt;"",tb_baza[[#This Row],[Гос. номер]],"")</f>
        <v/>
      </c>
    </row>
    <row r="113" spans="1:11" x14ac:dyDescent="0.25">
      <c r="A113" s="17" t="s">
        <v>1110</v>
      </c>
      <c r="B113" s="10" t="s">
        <v>286</v>
      </c>
      <c r="C113" s="13" t="s">
        <v>306</v>
      </c>
      <c r="D113" s="7" t="s">
        <v>204</v>
      </c>
      <c r="E113" s="2" t="s">
        <v>1307</v>
      </c>
      <c r="F113" s="2" t="s">
        <v>6</v>
      </c>
      <c r="G113" s="31"/>
      <c r="I1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3" t="str">
        <f>IF(tb_zakazchik[[#This Row],[Столбец1]]&lt;&gt;"",SUM($I$2:I113),"")</f>
        <v/>
      </c>
      <c r="K113" t="str">
        <f>IF(tb_zakazchik[[#This Row],[Столбец1]]&lt;&gt;"",tb_baza[[#This Row],[Гос. номер]],"")</f>
        <v/>
      </c>
    </row>
    <row r="114" spans="1:11" x14ac:dyDescent="0.25">
      <c r="A114" s="17" t="s">
        <v>287</v>
      </c>
      <c r="B114" s="10" t="s">
        <v>286</v>
      </c>
      <c r="C114" s="13" t="s">
        <v>306</v>
      </c>
      <c r="D114" s="7" t="s">
        <v>204</v>
      </c>
      <c r="E114" s="2" t="s">
        <v>1307</v>
      </c>
      <c r="F114" s="2" t="s">
        <v>13</v>
      </c>
      <c r="G114" s="31"/>
      <c r="I1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4" t="str">
        <f>IF(tb_zakazchik[[#This Row],[Столбец1]]&lt;&gt;"",SUM($I$2:I114),"")</f>
        <v/>
      </c>
      <c r="K114" t="str">
        <f>IF(tb_zakazchik[[#This Row],[Столбец1]]&lt;&gt;"",tb_baza[[#This Row],[Гос. номер]],"")</f>
        <v/>
      </c>
    </row>
    <row r="115" spans="1:11" x14ac:dyDescent="0.25">
      <c r="A115" s="17" t="s">
        <v>496</v>
      </c>
      <c r="B115" s="10" t="s">
        <v>45</v>
      </c>
      <c r="C115" s="13" t="s">
        <v>306</v>
      </c>
      <c r="D115" s="7" t="s">
        <v>1271</v>
      </c>
      <c r="E115" s="2" t="s">
        <v>1307</v>
      </c>
      <c r="F115" s="2" t="s">
        <v>3</v>
      </c>
      <c r="G115" s="31"/>
      <c r="I1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5" t="str">
        <f>IF(tb_zakazchik[[#This Row],[Столбец1]]&lt;&gt;"",SUM($I$2:I115),"")</f>
        <v/>
      </c>
      <c r="K115" t="str">
        <f>IF(tb_zakazchik[[#This Row],[Столбец1]]&lt;&gt;"",tb_baza[[#This Row],[Гос. номер]],"")</f>
        <v/>
      </c>
    </row>
    <row r="116" spans="1:11" x14ac:dyDescent="0.25">
      <c r="A116" s="17" t="s">
        <v>491</v>
      </c>
      <c r="B116" s="10" t="s">
        <v>45</v>
      </c>
      <c r="C116" s="13" t="s">
        <v>306</v>
      </c>
      <c r="D116" s="7" t="s">
        <v>1271</v>
      </c>
      <c r="E116" s="2" t="s">
        <v>1307</v>
      </c>
      <c r="F116" s="2" t="s">
        <v>3</v>
      </c>
      <c r="G116" s="31"/>
      <c r="I1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6" t="str">
        <f>IF(tb_zakazchik[[#This Row],[Столбец1]]&lt;&gt;"",SUM($I$2:I116),"")</f>
        <v/>
      </c>
      <c r="K116" t="str">
        <f>IF(tb_zakazchik[[#This Row],[Столбец1]]&lt;&gt;"",tb_baza[[#This Row],[Гос. номер]],"")</f>
        <v/>
      </c>
    </row>
    <row r="117" spans="1:11" x14ac:dyDescent="0.25">
      <c r="A117" s="17" t="s">
        <v>831</v>
      </c>
      <c r="B117" s="10" t="s">
        <v>45</v>
      </c>
      <c r="C117" s="13" t="s">
        <v>306</v>
      </c>
      <c r="D117" s="7" t="s">
        <v>1271</v>
      </c>
      <c r="E117" s="2" t="s">
        <v>1307</v>
      </c>
      <c r="F117" s="2" t="s">
        <v>13</v>
      </c>
      <c r="G117" s="31"/>
      <c r="I1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7" t="str">
        <f>IF(tb_zakazchik[[#This Row],[Столбец1]]&lt;&gt;"",SUM($I$2:I117),"")</f>
        <v/>
      </c>
      <c r="K117" t="str">
        <f>IF(tb_zakazchik[[#This Row],[Столбец1]]&lt;&gt;"",tb_baza[[#This Row],[Гос. номер]],"")</f>
        <v/>
      </c>
    </row>
    <row r="118" spans="1:11" x14ac:dyDescent="0.25">
      <c r="A118" s="17" t="s">
        <v>590</v>
      </c>
      <c r="B118" s="10" t="s">
        <v>45</v>
      </c>
      <c r="C118" s="13" t="s">
        <v>306</v>
      </c>
      <c r="D118" s="7" t="s">
        <v>1271</v>
      </c>
      <c r="E118" s="2" t="s">
        <v>1307</v>
      </c>
      <c r="F118" s="2" t="s">
        <v>3</v>
      </c>
      <c r="G118" s="31"/>
      <c r="I1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8" t="str">
        <f>IF(tb_zakazchik[[#This Row],[Столбец1]]&lt;&gt;"",SUM($I$2:I118),"")</f>
        <v/>
      </c>
      <c r="K118" t="str">
        <f>IF(tb_zakazchik[[#This Row],[Столбец1]]&lt;&gt;"",tb_baza[[#This Row],[Гос. номер]],"")</f>
        <v/>
      </c>
    </row>
    <row r="119" spans="1:11" x14ac:dyDescent="0.25">
      <c r="A119" s="17" t="s">
        <v>104</v>
      </c>
      <c r="B119" s="10" t="s">
        <v>45</v>
      </c>
      <c r="C119" s="13" t="s">
        <v>306</v>
      </c>
      <c r="D119" s="7" t="s">
        <v>1271</v>
      </c>
      <c r="E119" s="2" t="s">
        <v>1307</v>
      </c>
      <c r="F119" s="2" t="s">
        <v>6</v>
      </c>
      <c r="G119" s="31"/>
      <c r="I1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19" t="str">
        <f>IF(tb_zakazchik[[#This Row],[Столбец1]]&lt;&gt;"",SUM($I$2:I119),"")</f>
        <v/>
      </c>
      <c r="K119" t="str">
        <f>IF(tb_zakazchik[[#This Row],[Столбец1]]&lt;&gt;"",tb_baza[[#This Row],[Гос. номер]],"")</f>
        <v/>
      </c>
    </row>
    <row r="120" spans="1:11" x14ac:dyDescent="0.25">
      <c r="A120" s="17" t="s">
        <v>936</v>
      </c>
      <c r="B120" s="10" t="s">
        <v>45</v>
      </c>
      <c r="C120" s="13" t="s">
        <v>306</v>
      </c>
      <c r="D120" s="7" t="s">
        <v>1271</v>
      </c>
      <c r="E120" s="2" t="s">
        <v>1307</v>
      </c>
      <c r="F120" s="2" t="s">
        <v>3</v>
      </c>
      <c r="G120" s="31"/>
      <c r="I1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0" t="str">
        <f>IF(tb_zakazchik[[#This Row],[Столбец1]]&lt;&gt;"",SUM($I$2:I120),"")</f>
        <v/>
      </c>
      <c r="K120" t="str">
        <f>IF(tb_zakazchik[[#This Row],[Столбец1]]&lt;&gt;"",tb_baza[[#This Row],[Гос. номер]],"")</f>
        <v/>
      </c>
    </row>
    <row r="121" spans="1:11" x14ac:dyDescent="0.25">
      <c r="A121" s="17" t="s">
        <v>893</v>
      </c>
      <c r="B121" s="10" t="s">
        <v>373</v>
      </c>
      <c r="C121" s="13" t="s">
        <v>306</v>
      </c>
      <c r="D121" s="7" t="s">
        <v>1271</v>
      </c>
      <c r="E121" s="2" t="s">
        <v>1307</v>
      </c>
      <c r="F121" s="2" t="s">
        <v>6</v>
      </c>
      <c r="G121" s="31"/>
      <c r="I1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1" t="str">
        <f>IF(tb_zakazchik[[#This Row],[Столбец1]]&lt;&gt;"",SUM($I$2:I121),"")</f>
        <v/>
      </c>
      <c r="K121" t="str">
        <f>IF(tb_zakazchik[[#This Row],[Столбец1]]&lt;&gt;"",tb_baza[[#This Row],[Гос. номер]],"")</f>
        <v/>
      </c>
    </row>
    <row r="122" spans="1:11" x14ac:dyDescent="0.25">
      <c r="A122" s="17" t="s">
        <v>657</v>
      </c>
      <c r="B122" s="10" t="s">
        <v>53</v>
      </c>
      <c r="C122" s="13" t="s">
        <v>306</v>
      </c>
      <c r="D122" s="7" t="s">
        <v>1271</v>
      </c>
      <c r="E122" s="2" t="s">
        <v>1307</v>
      </c>
      <c r="F122" s="2" t="s">
        <v>3</v>
      </c>
      <c r="G122" s="31"/>
      <c r="I1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2" t="str">
        <f>IF(tb_zakazchik[[#This Row],[Столбец1]]&lt;&gt;"",SUM($I$2:I122),"")</f>
        <v/>
      </c>
      <c r="K122" t="str">
        <f>IF(tb_zakazchik[[#This Row],[Столбец1]]&lt;&gt;"",tb_baza[[#This Row],[Гос. номер]],"")</f>
        <v/>
      </c>
    </row>
    <row r="123" spans="1:11" x14ac:dyDescent="0.25">
      <c r="A123" s="17" t="s">
        <v>614</v>
      </c>
      <c r="B123" s="10" t="s">
        <v>373</v>
      </c>
      <c r="C123" s="13" t="s">
        <v>306</v>
      </c>
      <c r="D123" s="7" t="s">
        <v>1271</v>
      </c>
      <c r="E123" s="2" t="s">
        <v>1307</v>
      </c>
      <c r="F123" s="2" t="s">
        <v>13</v>
      </c>
      <c r="G123" s="31"/>
      <c r="I1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3" t="str">
        <f>IF(tb_zakazchik[[#This Row],[Столбец1]]&lt;&gt;"",SUM($I$2:I123),"")</f>
        <v/>
      </c>
      <c r="K123" t="str">
        <f>IF(tb_zakazchik[[#This Row],[Столбец1]]&lt;&gt;"",tb_baza[[#This Row],[Гос. номер]],"")</f>
        <v/>
      </c>
    </row>
    <row r="124" spans="1:11" x14ac:dyDescent="0.25">
      <c r="A124" s="17" t="s">
        <v>270</v>
      </c>
      <c r="B124" s="10" t="s">
        <v>49</v>
      </c>
      <c r="C124" s="13" t="s">
        <v>306</v>
      </c>
      <c r="D124" s="7" t="s">
        <v>1271</v>
      </c>
      <c r="E124" s="2" t="s">
        <v>1307</v>
      </c>
      <c r="F124" s="2" t="s">
        <v>3</v>
      </c>
      <c r="G124" s="31"/>
      <c r="I1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4" t="str">
        <f>IF(tb_zakazchik[[#This Row],[Столбец1]]&lt;&gt;"",SUM($I$2:I124),"")</f>
        <v/>
      </c>
      <c r="K124" t="str">
        <f>IF(tb_zakazchik[[#This Row],[Столбец1]]&lt;&gt;"",tb_baza[[#This Row],[Гос. номер]],"")</f>
        <v/>
      </c>
    </row>
    <row r="125" spans="1:11" x14ac:dyDescent="0.25">
      <c r="A125" s="17" t="s">
        <v>50</v>
      </c>
      <c r="B125" s="10" t="s">
        <v>49</v>
      </c>
      <c r="C125" s="13" t="s">
        <v>306</v>
      </c>
      <c r="D125" s="7" t="s">
        <v>1271</v>
      </c>
      <c r="E125" s="2" t="s">
        <v>1307</v>
      </c>
      <c r="F125" s="2" t="s">
        <v>6</v>
      </c>
      <c r="G125" s="31"/>
      <c r="I1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5" t="str">
        <f>IF(tb_zakazchik[[#This Row],[Столбец1]]&lt;&gt;"",SUM($I$2:I125),"")</f>
        <v/>
      </c>
      <c r="K125" t="str">
        <f>IF(tb_zakazchik[[#This Row],[Столбец1]]&lt;&gt;"",tb_baza[[#This Row],[Гос. номер]],"")</f>
        <v/>
      </c>
    </row>
    <row r="126" spans="1:11" x14ac:dyDescent="0.25">
      <c r="A126" s="17" t="s">
        <v>792</v>
      </c>
      <c r="B126" s="10" t="s">
        <v>84</v>
      </c>
      <c r="C126" s="13" t="s">
        <v>306</v>
      </c>
      <c r="D126" s="7" t="s">
        <v>1271</v>
      </c>
      <c r="E126" s="2" t="s">
        <v>1307</v>
      </c>
      <c r="F126" s="2" t="s">
        <v>13</v>
      </c>
      <c r="G126" s="31"/>
      <c r="I1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6" t="str">
        <f>IF(tb_zakazchik[[#This Row],[Столбец1]]&lt;&gt;"",SUM($I$2:I126),"")</f>
        <v/>
      </c>
      <c r="K126" t="str">
        <f>IF(tb_zakazchik[[#This Row],[Столбец1]]&lt;&gt;"",tb_baza[[#This Row],[Гос. номер]],"")</f>
        <v/>
      </c>
    </row>
    <row r="127" spans="1:11" x14ac:dyDescent="0.25">
      <c r="A127" s="17" t="s">
        <v>85</v>
      </c>
      <c r="B127" s="10" t="s">
        <v>84</v>
      </c>
      <c r="C127" s="13" t="s">
        <v>306</v>
      </c>
      <c r="D127" s="7" t="s">
        <v>1271</v>
      </c>
      <c r="E127" s="2" t="s">
        <v>1307</v>
      </c>
      <c r="F127" s="2" t="s">
        <v>3</v>
      </c>
      <c r="G127" s="31"/>
      <c r="I1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7" t="str">
        <f>IF(tb_zakazchik[[#This Row],[Столбец1]]&lt;&gt;"",SUM($I$2:I127),"")</f>
        <v/>
      </c>
      <c r="K127" t="str">
        <f>IF(tb_zakazchik[[#This Row],[Столбец1]]&lt;&gt;"",tb_baza[[#This Row],[Гос. номер]],"")</f>
        <v/>
      </c>
    </row>
    <row r="128" spans="1:11" x14ac:dyDescent="0.25">
      <c r="A128" s="17" t="s">
        <v>532</v>
      </c>
      <c r="B128" s="10" t="s">
        <v>531</v>
      </c>
      <c r="C128" s="13" t="s">
        <v>306</v>
      </c>
      <c r="D128" s="7" t="s">
        <v>1271</v>
      </c>
      <c r="E128" s="2" t="s">
        <v>1307</v>
      </c>
      <c r="F128" s="2" t="s">
        <v>6</v>
      </c>
      <c r="G128" s="31"/>
      <c r="I1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8" t="str">
        <f>IF(tb_zakazchik[[#This Row],[Столбец1]]&lt;&gt;"",SUM($I$2:I128),"")</f>
        <v/>
      </c>
      <c r="K128" t="str">
        <f>IF(tb_zakazchik[[#This Row],[Столбец1]]&lt;&gt;"",tb_baza[[#This Row],[Гос. номер]],"")</f>
        <v/>
      </c>
    </row>
    <row r="129" spans="1:11" x14ac:dyDescent="0.25">
      <c r="A129" s="17" t="s">
        <v>899</v>
      </c>
      <c r="B129" s="10" t="s">
        <v>255</v>
      </c>
      <c r="C129" s="13" t="s">
        <v>306</v>
      </c>
      <c r="D129" s="7" t="s">
        <v>1271</v>
      </c>
      <c r="E129" s="2" t="s">
        <v>12</v>
      </c>
      <c r="F129" s="2" t="s">
        <v>13</v>
      </c>
      <c r="G129" s="31"/>
      <c r="I1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29" t="str">
        <f>IF(tb_zakazchik[[#This Row],[Столбец1]]&lt;&gt;"",SUM($I$2:I129),"")</f>
        <v/>
      </c>
      <c r="K129" t="str">
        <f>IF(tb_zakazchik[[#This Row],[Столбец1]]&lt;&gt;"",tb_baza[[#This Row],[Гос. номер]],"")</f>
        <v/>
      </c>
    </row>
    <row r="130" spans="1:11" x14ac:dyDescent="0.25">
      <c r="A130" s="17" t="s">
        <v>842</v>
      </c>
      <c r="B130" s="10" t="s">
        <v>255</v>
      </c>
      <c r="C130" s="13" t="s">
        <v>306</v>
      </c>
      <c r="D130" s="7" t="s">
        <v>1271</v>
      </c>
      <c r="E130" s="2" t="s">
        <v>12</v>
      </c>
      <c r="F130" s="2" t="s">
        <v>13</v>
      </c>
      <c r="G130" s="31"/>
      <c r="I1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0" t="str">
        <f>IF(tb_zakazchik[[#This Row],[Столбец1]]&lt;&gt;"",SUM($I$2:I130),"")</f>
        <v/>
      </c>
      <c r="K130" t="str">
        <f>IF(tb_zakazchik[[#This Row],[Столбец1]]&lt;&gt;"",tb_baza[[#This Row],[Гос. номер]],"")</f>
        <v/>
      </c>
    </row>
    <row r="131" spans="1:11" x14ac:dyDescent="0.25">
      <c r="A131" s="17" t="s">
        <v>315</v>
      </c>
      <c r="B131" s="10" t="s">
        <v>255</v>
      </c>
      <c r="C131" s="13" t="s">
        <v>306</v>
      </c>
      <c r="D131" s="7" t="s">
        <v>1271</v>
      </c>
      <c r="E131" s="2" t="s">
        <v>12</v>
      </c>
      <c r="F131" s="2" t="s">
        <v>13</v>
      </c>
      <c r="G131" s="31"/>
      <c r="I1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1" t="str">
        <f>IF(tb_zakazchik[[#This Row],[Столбец1]]&lt;&gt;"",SUM($I$2:I131),"")</f>
        <v/>
      </c>
      <c r="K131" t="str">
        <f>IF(tb_zakazchik[[#This Row],[Столбец1]]&lt;&gt;"",tb_baza[[#This Row],[Гос. номер]],"")</f>
        <v/>
      </c>
    </row>
    <row r="132" spans="1:11" x14ac:dyDescent="0.25">
      <c r="A132" s="17" t="s">
        <v>882</v>
      </c>
      <c r="B132" s="10" t="s">
        <v>255</v>
      </c>
      <c r="C132" s="13" t="s">
        <v>306</v>
      </c>
      <c r="D132" s="7" t="s">
        <v>1271</v>
      </c>
      <c r="E132" s="2" t="s">
        <v>12</v>
      </c>
      <c r="F132" s="2" t="s">
        <v>13</v>
      </c>
      <c r="G132" s="31"/>
      <c r="I1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2" t="str">
        <f>IF(tb_zakazchik[[#This Row],[Столбец1]]&lt;&gt;"",SUM($I$2:I132),"")</f>
        <v/>
      </c>
      <c r="K132" t="str">
        <f>IF(tb_zakazchik[[#This Row],[Столбец1]]&lt;&gt;"",tb_baza[[#This Row],[Гос. номер]],"")</f>
        <v/>
      </c>
    </row>
    <row r="133" spans="1:11" x14ac:dyDescent="0.25">
      <c r="A133" s="17" t="s">
        <v>839</v>
      </c>
      <c r="B133" s="10" t="s">
        <v>255</v>
      </c>
      <c r="C133" s="13" t="s">
        <v>306</v>
      </c>
      <c r="D133" s="7" t="s">
        <v>1271</v>
      </c>
      <c r="E133" s="2" t="s">
        <v>12</v>
      </c>
      <c r="F133" s="2" t="s">
        <v>13</v>
      </c>
      <c r="G133" s="31"/>
      <c r="I1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3" t="str">
        <f>IF(tb_zakazchik[[#This Row],[Столбец1]]&lt;&gt;"",SUM($I$2:I133),"")</f>
        <v/>
      </c>
      <c r="K133" t="str">
        <f>IF(tb_zakazchik[[#This Row],[Столбец1]]&lt;&gt;"",tb_baza[[#This Row],[Гос. номер]],"")</f>
        <v/>
      </c>
    </row>
    <row r="134" spans="1:11" x14ac:dyDescent="0.25">
      <c r="A134" s="17" t="s">
        <v>840</v>
      </c>
      <c r="B134" s="10" t="s">
        <v>255</v>
      </c>
      <c r="C134" s="13" t="s">
        <v>306</v>
      </c>
      <c r="D134" s="7" t="s">
        <v>1271</v>
      </c>
      <c r="E134" s="2" t="s">
        <v>12</v>
      </c>
      <c r="F134" s="2" t="s">
        <v>13</v>
      </c>
      <c r="G134" s="31"/>
      <c r="I1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4" t="str">
        <f>IF(tb_zakazchik[[#This Row],[Столбец1]]&lt;&gt;"",SUM($I$2:I134),"")</f>
        <v/>
      </c>
      <c r="K134" t="str">
        <f>IF(tb_zakazchik[[#This Row],[Столбец1]]&lt;&gt;"",tb_baza[[#This Row],[Гос. номер]],"")</f>
        <v/>
      </c>
    </row>
    <row r="135" spans="1:11" x14ac:dyDescent="0.25">
      <c r="A135" s="17" t="s">
        <v>881</v>
      </c>
      <c r="B135" s="10" t="s">
        <v>255</v>
      </c>
      <c r="C135" s="13" t="s">
        <v>306</v>
      </c>
      <c r="D135" s="7" t="s">
        <v>1271</v>
      </c>
      <c r="E135" s="2" t="s">
        <v>12</v>
      </c>
      <c r="F135" s="2" t="s">
        <v>13</v>
      </c>
      <c r="G135" s="31"/>
      <c r="I1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5" t="str">
        <f>IF(tb_zakazchik[[#This Row],[Столбец1]]&lt;&gt;"",SUM($I$2:I135),"")</f>
        <v/>
      </c>
      <c r="K135" t="str">
        <f>IF(tb_zakazchik[[#This Row],[Столбец1]]&lt;&gt;"",tb_baza[[#This Row],[Гос. номер]],"")</f>
        <v/>
      </c>
    </row>
    <row r="136" spans="1:11" x14ac:dyDescent="0.25">
      <c r="A136" s="17" t="s">
        <v>843</v>
      </c>
      <c r="B136" s="10" t="s">
        <v>255</v>
      </c>
      <c r="C136" s="13" t="s">
        <v>306</v>
      </c>
      <c r="D136" s="7" t="s">
        <v>1271</v>
      </c>
      <c r="E136" s="2" t="s">
        <v>12</v>
      </c>
      <c r="F136" s="2" t="s">
        <v>13</v>
      </c>
      <c r="G136" s="31"/>
      <c r="I1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6" t="str">
        <f>IF(tb_zakazchik[[#This Row],[Столбец1]]&lt;&gt;"",SUM($I$2:I136),"")</f>
        <v/>
      </c>
      <c r="K136" t="str">
        <f>IF(tb_zakazchik[[#This Row],[Столбец1]]&lt;&gt;"",tb_baza[[#This Row],[Гос. номер]],"")</f>
        <v/>
      </c>
    </row>
    <row r="137" spans="1:11" x14ac:dyDescent="0.25">
      <c r="A137" s="17" t="s">
        <v>841</v>
      </c>
      <c r="B137" s="10" t="s">
        <v>255</v>
      </c>
      <c r="C137" s="13" t="s">
        <v>306</v>
      </c>
      <c r="D137" s="7" t="s">
        <v>1271</v>
      </c>
      <c r="E137" s="2" t="s">
        <v>12</v>
      </c>
      <c r="F137" s="2" t="s">
        <v>13</v>
      </c>
      <c r="G137" s="31"/>
      <c r="I1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7" t="str">
        <f>IF(tb_zakazchik[[#This Row],[Столбец1]]&lt;&gt;"",SUM($I$2:I137),"")</f>
        <v/>
      </c>
      <c r="K137" t="str">
        <f>IF(tb_zakazchik[[#This Row],[Столбец1]]&lt;&gt;"",tb_baza[[#This Row],[Гос. номер]],"")</f>
        <v/>
      </c>
    </row>
    <row r="138" spans="1:11" x14ac:dyDescent="0.25">
      <c r="A138" s="17" t="s">
        <v>339</v>
      </c>
      <c r="B138" s="10" t="s">
        <v>338</v>
      </c>
      <c r="C138" s="13" t="s">
        <v>306</v>
      </c>
      <c r="D138" s="7" t="s">
        <v>1281</v>
      </c>
      <c r="E138" s="2" t="s">
        <v>1306</v>
      </c>
      <c r="F138" s="3"/>
      <c r="G138" s="31"/>
      <c r="I1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8" t="str">
        <f>IF(tb_zakazchik[[#This Row],[Столбец1]]&lt;&gt;"",SUM($I$2:I138),"")</f>
        <v/>
      </c>
      <c r="K138" t="str">
        <f>IF(tb_zakazchik[[#This Row],[Столбец1]]&lt;&gt;"",tb_baza[[#This Row],[Гос. номер]],"")</f>
        <v/>
      </c>
    </row>
    <row r="139" spans="1:11" x14ac:dyDescent="0.25">
      <c r="A139" s="17" t="s">
        <v>43</v>
      </c>
      <c r="B139" s="10" t="s">
        <v>42</v>
      </c>
      <c r="C139" s="13" t="s">
        <v>306</v>
      </c>
      <c r="D139" s="7" t="s">
        <v>1281</v>
      </c>
      <c r="E139" s="2" t="s">
        <v>1307</v>
      </c>
      <c r="F139" s="3"/>
      <c r="G139" s="31"/>
      <c r="I1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39" t="str">
        <f>IF(tb_zakazchik[[#This Row],[Столбец1]]&lt;&gt;"",SUM($I$2:I139),"")</f>
        <v/>
      </c>
      <c r="K139" t="str">
        <f>IF(tb_zakazchik[[#This Row],[Столбец1]]&lt;&gt;"",tb_baza[[#This Row],[Гос. номер]],"")</f>
        <v/>
      </c>
    </row>
    <row r="140" spans="1:11" x14ac:dyDescent="0.25">
      <c r="A140" s="17" t="s">
        <v>633</v>
      </c>
      <c r="B140" s="10" t="s">
        <v>631</v>
      </c>
      <c r="C140" s="13" t="s">
        <v>306</v>
      </c>
      <c r="D140" s="7" t="s">
        <v>1281</v>
      </c>
      <c r="E140" s="2" t="s">
        <v>1307</v>
      </c>
      <c r="F140" s="3"/>
      <c r="G140" s="31"/>
      <c r="I1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0" t="str">
        <f>IF(tb_zakazchik[[#This Row],[Столбец1]]&lt;&gt;"",SUM($I$2:I140),"")</f>
        <v/>
      </c>
      <c r="K140" t="str">
        <f>IF(tb_zakazchik[[#This Row],[Столбец1]]&lt;&gt;"",tb_baza[[#This Row],[Гос. номер]],"")</f>
        <v/>
      </c>
    </row>
    <row r="141" spans="1:11" x14ac:dyDescent="0.25">
      <c r="A141" s="17" t="s">
        <v>632</v>
      </c>
      <c r="B141" s="10" t="s">
        <v>631</v>
      </c>
      <c r="C141" s="13" t="s">
        <v>306</v>
      </c>
      <c r="D141" s="7" t="s">
        <v>1281</v>
      </c>
      <c r="E141" s="2" t="s">
        <v>1307</v>
      </c>
      <c r="F141" s="3"/>
      <c r="G141" s="31"/>
      <c r="I1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1" t="str">
        <f>IF(tb_zakazchik[[#This Row],[Столбец1]]&lt;&gt;"",SUM($I$2:I141),"")</f>
        <v/>
      </c>
      <c r="K141" t="str">
        <f>IF(tb_zakazchik[[#This Row],[Столбец1]]&lt;&gt;"",tb_baza[[#This Row],[Гос. номер]],"")</f>
        <v/>
      </c>
    </row>
    <row r="142" spans="1:11" x14ac:dyDescent="0.25">
      <c r="A142" s="17" t="s">
        <v>932</v>
      </c>
      <c r="B142" s="10" t="s">
        <v>631</v>
      </c>
      <c r="C142" s="13" t="s">
        <v>306</v>
      </c>
      <c r="D142" s="7" t="s">
        <v>1281</v>
      </c>
      <c r="E142" s="2" t="s">
        <v>1307</v>
      </c>
      <c r="F142" s="3"/>
      <c r="G142" s="31"/>
      <c r="I1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2" t="str">
        <f>IF(tb_zakazchik[[#This Row],[Столбец1]]&lt;&gt;"",SUM($I$2:I142),"")</f>
        <v/>
      </c>
      <c r="K142" t="str">
        <f>IF(tb_zakazchik[[#This Row],[Столбец1]]&lt;&gt;"",tb_baza[[#This Row],[Гос. номер]],"")</f>
        <v/>
      </c>
    </row>
    <row r="143" spans="1:11" x14ac:dyDescent="0.25">
      <c r="A143" s="17" t="s">
        <v>335</v>
      </c>
      <c r="B143" s="10" t="s">
        <v>334</v>
      </c>
      <c r="C143" s="13" t="s">
        <v>306</v>
      </c>
      <c r="D143" s="7" t="s">
        <v>1281</v>
      </c>
      <c r="E143" s="3" t="s">
        <v>1307</v>
      </c>
      <c r="F143" s="3"/>
      <c r="G143" s="31"/>
      <c r="I1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3" t="str">
        <f>IF(tb_zakazchik[[#This Row],[Столбец1]]&lt;&gt;"",SUM($I$2:I143),"")</f>
        <v/>
      </c>
      <c r="K143" t="str">
        <f>IF(tb_zakazchik[[#This Row],[Столбец1]]&lt;&gt;"",tb_baza[[#This Row],[Гос. номер]],"")</f>
        <v/>
      </c>
    </row>
    <row r="144" spans="1:11" x14ac:dyDescent="0.25">
      <c r="A144" s="17" t="s">
        <v>925</v>
      </c>
      <c r="B144" s="10" t="s">
        <v>326</v>
      </c>
      <c r="C144" s="13" t="s">
        <v>306</v>
      </c>
      <c r="D144" s="7" t="s">
        <v>1281</v>
      </c>
      <c r="E144" s="2" t="s">
        <v>12</v>
      </c>
      <c r="F144" s="2" t="s">
        <v>13</v>
      </c>
      <c r="G144" s="31"/>
      <c r="I1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4" t="str">
        <f>IF(tb_zakazchik[[#This Row],[Столбец1]]&lt;&gt;"",SUM($I$2:I144),"")</f>
        <v/>
      </c>
      <c r="K144" t="str">
        <f>IF(tb_zakazchik[[#This Row],[Столбец1]]&lt;&gt;"",tb_baza[[#This Row],[Гос. номер]],"")</f>
        <v/>
      </c>
    </row>
    <row r="145" spans="1:11" x14ac:dyDescent="0.25">
      <c r="A145" s="17" t="s">
        <v>1038</v>
      </c>
      <c r="B145" s="10" t="s">
        <v>326</v>
      </c>
      <c r="C145" s="13" t="s">
        <v>306</v>
      </c>
      <c r="D145" s="7" t="s">
        <v>1281</v>
      </c>
      <c r="E145" s="2" t="s">
        <v>12</v>
      </c>
      <c r="F145" s="2" t="s">
        <v>3</v>
      </c>
      <c r="G145" s="31"/>
      <c r="I1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5" t="str">
        <f>IF(tb_zakazchik[[#This Row],[Столбец1]]&lt;&gt;"",SUM($I$2:I145),"")</f>
        <v/>
      </c>
      <c r="K145" t="str">
        <f>IF(tb_zakazchik[[#This Row],[Столбец1]]&lt;&gt;"",tb_baza[[#This Row],[Гос. номер]],"")</f>
        <v/>
      </c>
    </row>
    <row r="146" spans="1:11" x14ac:dyDescent="0.25">
      <c r="A146" s="17" t="s">
        <v>325</v>
      </c>
      <c r="B146" s="10" t="s">
        <v>322</v>
      </c>
      <c r="C146" s="13" t="s">
        <v>306</v>
      </c>
      <c r="D146" s="7" t="s">
        <v>1281</v>
      </c>
      <c r="E146" s="3" t="s">
        <v>1307</v>
      </c>
      <c r="F146" s="3"/>
      <c r="G146" s="31"/>
      <c r="I1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6" t="str">
        <f>IF(tb_zakazchik[[#This Row],[Столбец1]]&lt;&gt;"",SUM($I$2:I146),"")</f>
        <v/>
      </c>
      <c r="K146" t="str">
        <f>IF(tb_zakazchik[[#This Row],[Столбец1]]&lt;&gt;"",tb_baza[[#This Row],[Гос. номер]],"")</f>
        <v/>
      </c>
    </row>
    <row r="147" spans="1:11" x14ac:dyDescent="0.25">
      <c r="A147" s="17" t="s">
        <v>323</v>
      </c>
      <c r="B147" s="10" t="s">
        <v>322</v>
      </c>
      <c r="C147" s="13" t="s">
        <v>306</v>
      </c>
      <c r="D147" s="7" t="s">
        <v>1281</v>
      </c>
      <c r="E147" s="3" t="s">
        <v>1307</v>
      </c>
      <c r="F147" s="3"/>
      <c r="G147" s="31"/>
      <c r="I1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7" t="str">
        <f>IF(tb_zakazchik[[#This Row],[Столбец1]]&lt;&gt;"",SUM($I$2:I147),"")</f>
        <v/>
      </c>
      <c r="K147" t="str">
        <f>IF(tb_zakazchik[[#This Row],[Столбец1]]&lt;&gt;"",tb_baza[[#This Row],[Гос. номер]],"")</f>
        <v/>
      </c>
    </row>
    <row r="148" spans="1:11" x14ac:dyDescent="0.25">
      <c r="A148" s="17" t="s">
        <v>324</v>
      </c>
      <c r="B148" s="10" t="s">
        <v>322</v>
      </c>
      <c r="C148" s="13" t="s">
        <v>306</v>
      </c>
      <c r="D148" s="7" t="s">
        <v>1281</v>
      </c>
      <c r="E148" s="3" t="s">
        <v>1307</v>
      </c>
      <c r="F148" s="3"/>
      <c r="G148" s="31"/>
      <c r="I1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8" t="str">
        <f>IF(tb_zakazchik[[#This Row],[Столбец1]]&lt;&gt;"",SUM($I$2:I148),"")</f>
        <v/>
      </c>
      <c r="K148" t="str">
        <f>IF(tb_zakazchik[[#This Row],[Столбец1]]&lt;&gt;"",tb_baza[[#This Row],[Гос. номер]],"")</f>
        <v/>
      </c>
    </row>
    <row r="149" spans="1:11" x14ac:dyDescent="0.25">
      <c r="A149" s="17" t="s">
        <v>330</v>
      </c>
      <c r="B149" s="10" t="s">
        <v>328</v>
      </c>
      <c r="C149" s="13" t="s">
        <v>306</v>
      </c>
      <c r="D149" s="8" t="s">
        <v>1299</v>
      </c>
      <c r="E149" s="3" t="s">
        <v>1307</v>
      </c>
      <c r="F149" s="2" t="s">
        <v>3</v>
      </c>
      <c r="G149" s="31"/>
      <c r="I1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49" t="str">
        <f>IF(tb_zakazchik[[#This Row],[Столбец1]]&lt;&gt;"",SUM($I$2:I149),"")</f>
        <v/>
      </c>
      <c r="K149" t="str">
        <f>IF(tb_zakazchik[[#This Row],[Столбец1]]&lt;&gt;"",tb_baza[[#This Row],[Гос. номер]],"")</f>
        <v/>
      </c>
    </row>
    <row r="150" spans="1:11" x14ac:dyDescent="0.25">
      <c r="A150" s="17" t="s">
        <v>331</v>
      </c>
      <c r="B150" s="10" t="s">
        <v>328</v>
      </c>
      <c r="C150" s="13" t="s">
        <v>306</v>
      </c>
      <c r="D150" s="8" t="s">
        <v>1299</v>
      </c>
      <c r="E150" s="3" t="s">
        <v>1307</v>
      </c>
      <c r="F150" s="2" t="s">
        <v>3</v>
      </c>
      <c r="G150" s="31"/>
      <c r="I1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0" t="str">
        <f>IF(tb_zakazchik[[#This Row],[Столбец1]]&lt;&gt;"",SUM($I$2:I150),"")</f>
        <v/>
      </c>
      <c r="K150" t="str">
        <f>IF(tb_zakazchik[[#This Row],[Столбец1]]&lt;&gt;"",tb_baza[[#This Row],[Гос. номер]],"")</f>
        <v/>
      </c>
    </row>
    <row r="151" spans="1:11" x14ac:dyDescent="0.25">
      <c r="A151" s="17" t="s">
        <v>329</v>
      </c>
      <c r="B151" s="10" t="s">
        <v>328</v>
      </c>
      <c r="C151" s="13" t="s">
        <v>306</v>
      </c>
      <c r="D151" s="8" t="s">
        <v>1299</v>
      </c>
      <c r="E151" s="3" t="s">
        <v>1307</v>
      </c>
      <c r="F151" s="2" t="s">
        <v>3</v>
      </c>
      <c r="G151" s="31"/>
      <c r="I1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1" t="str">
        <f>IF(tb_zakazchik[[#This Row],[Столбец1]]&lt;&gt;"",SUM($I$2:I151),"")</f>
        <v/>
      </c>
      <c r="K151" t="str">
        <f>IF(tb_zakazchik[[#This Row],[Столбец1]]&lt;&gt;"",tb_baza[[#This Row],[Гос. номер]],"")</f>
        <v/>
      </c>
    </row>
    <row r="152" spans="1:11" x14ac:dyDescent="0.25">
      <c r="A152" s="17" t="s">
        <v>787</v>
      </c>
      <c r="B152" s="10" t="s">
        <v>693</v>
      </c>
      <c r="C152" s="13" t="s">
        <v>306</v>
      </c>
      <c r="D152" s="7" t="s">
        <v>391</v>
      </c>
      <c r="E152" s="2" t="s">
        <v>1307</v>
      </c>
      <c r="F152" s="2" t="s">
        <v>6</v>
      </c>
      <c r="G152" s="31"/>
      <c r="I1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2" t="str">
        <f>IF(tb_zakazchik[[#This Row],[Столбец1]]&lt;&gt;"",SUM($I$2:I152),"")</f>
        <v/>
      </c>
      <c r="K152" t="str">
        <f>IF(tb_zakazchik[[#This Row],[Столбец1]]&lt;&gt;"",tb_baza[[#This Row],[Гос. номер]],"")</f>
        <v/>
      </c>
    </row>
    <row r="153" spans="1:11" x14ac:dyDescent="0.25">
      <c r="A153" s="17" t="s">
        <v>797</v>
      </c>
      <c r="B153" s="10" t="s">
        <v>389</v>
      </c>
      <c r="C153" s="13" t="s">
        <v>306</v>
      </c>
      <c r="D153" s="7" t="s">
        <v>391</v>
      </c>
      <c r="E153" s="2" t="s">
        <v>1307</v>
      </c>
      <c r="F153" s="2" t="s">
        <v>13</v>
      </c>
      <c r="G153" s="31"/>
      <c r="I1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3" t="str">
        <f>IF(tb_zakazchik[[#This Row],[Столбец1]]&lt;&gt;"",SUM($I$2:I153),"")</f>
        <v/>
      </c>
      <c r="K153" t="str">
        <f>IF(tb_zakazchik[[#This Row],[Столбец1]]&lt;&gt;"",tb_baza[[#This Row],[Гос. номер]],"")</f>
        <v/>
      </c>
    </row>
    <row r="154" spans="1:11" x14ac:dyDescent="0.25">
      <c r="A154" s="17" t="s">
        <v>571</v>
      </c>
      <c r="B154" s="10" t="s">
        <v>389</v>
      </c>
      <c r="C154" s="13" t="s">
        <v>306</v>
      </c>
      <c r="D154" s="7" t="s">
        <v>391</v>
      </c>
      <c r="E154" s="2" t="s">
        <v>1307</v>
      </c>
      <c r="F154" s="2" t="s">
        <v>6</v>
      </c>
      <c r="G154" s="31"/>
      <c r="I1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4" t="str">
        <f>IF(tb_zakazchik[[#This Row],[Столбец1]]&lt;&gt;"",SUM($I$2:I154),"")</f>
        <v/>
      </c>
      <c r="K154" t="str">
        <f>IF(tb_zakazchik[[#This Row],[Столбец1]]&lt;&gt;"",tb_baza[[#This Row],[Гос. номер]],"")</f>
        <v/>
      </c>
    </row>
    <row r="155" spans="1:11" x14ac:dyDescent="0.25">
      <c r="A155" s="17" t="s">
        <v>695</v>
      </c>
      <c r="B155" s="10" t="s">
        <v>389</v>
      </c>
      <c r="C155" s="13" t="s">
        <v>306</v>
      </c>
      <c r="D155" s="7" t="s">
        <v>391</v>
      </c>
      <c r="E155" s="2" t="s">
        <v>1307</v>
      </c>
      <c r="F155" s="2" t="s">
        <v>3</v>
      </c>
      <c r="G155" s="31"/>
      <c r="I1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5" t="str">
        <f>IF(tb_zakazchik[[#This Row],[Столбец1]]&lt;&gt;"",SUM($I$2:I155),"")</f>
        <v/>
      </c>
      <c r="K155" t="str">
        <f>IF(tb_zakazchik[[#This Row],[Столбец1]]&lt;&gt;"",tb_baza[[#This Row],[Гос. номер]],"")</f>
        <v/>
      </c>
    </row>
    <row r="156" spans="1:11" x14ac:dyDescent="0.25">
      <c r="A156" s="17" t="s">
        <v>696</v>
      </c>
      <c r="B156" s="10" t="s">
        <v>389</v>
      </c>
      <c r="C156" s="13" t="s">
        <v>306</v>
      </c>
      <c r="D156" s="7" t="s">
        <v>391</v>
      </c>
      <c r="E156" s="2" t="s">
        <v>1307</v>
      </c>
      <c r="F156" s="2" t="s">
        <v>13</v>
      </c>
      <c r="G156" s="31"/>
      <c r="I1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6" t="str">
        <f>IF(tb_zakazchik[[#This Row],[Столбец1]]&lt;&gt;"",SUM($I$2:I156),"")</f>
        <v/>
      </c>
      <c r="K156" t="str">
        <f>IF(tb_zakazchik[[#This Row],[Столбец1]]&lt;&gt;"",tb_baza[[#This Row],[Гос. номер]],"")</f>
        <v/>
      </c>
    </row>
    <row r="157" spans="1:11" x14ac:dyDescent="0.25">
      <c r="A157" s="17" t="s">
        <v>451</v>
      </c>
      <c r="B157" s="10" t="s">
        <v>389</v>
      </c>
      <c r="C157" s="13" t="s">
        <v>306</v>
      </c>
      <c r="D157" s="7" t="s">
        <v>391</v>
      </c>
      <c r="E157" s="2" t="s">
        <v>1307</v>
      </c>
      <c r="F157" s="2" t="s">
        <v>13</v>
      </c>
      <c r="G157" s="31"/>
      <c r="I1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7" t="str">
        <f>IF(tb_zakazchik[[#This Row],[Столбец1]]&lt;&gt;"",SUM($I$2:I157),"")</f>
        <v/>
      </c>
      <c r="K157" t="str">
        <f>IF(tb_zakazchik[[#This Row],[Столбец1]]&lt;&gt;"",tb_baza[[#This Row],[Гос. номер]],"")</f>
        <v/>
      </c>
    </row>
    <row r="158" spans="1:11" x14ac:dyDescent="0.25">
      <c r="A158" s="17" t="s">
        <v>437</v>
      </c>
      <c r="B158" s="10" t="s">
        <v>389</v>
      </c>
      <c r="C158" s="13" t="s">
        <v>306</v>
      </c>
      <c r="D158" s="7" t="s">
        <v>391</v>
      </c>
      <c r="E158" s="2" t="s">
        <v>1307</v>
      </c>
      <c r="F158" s="2" t="s">
        <v>13</v>
      </c>
      <c r="G158" s="31"/>
      <c r="I1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8" t="str">
        <f>IF(tb_zakazchik[[#This Row],[Столбец1]]&lt;&gt;"",SUM($I$2:I158),"")</f>
        <v/>
      </c>
      <c r="K158" t="str">
        <f>IF(tb_zakazchik[[#This Row],[Столбец1]]&lt;&gt;"",tb_baza[[#This Row],[Гос. номер]],"")</f>
        <v/>
      </c>
    </row>
    <row r="159" spans="1:11" x14ac:dyDescent="0.25">
      <c r="A159" s="17" t="s">
        <v>446</v>
      </c>
      <c r="B159" s="10" t="s">
        <v>389</v>
      </c>
      <c r="C159" s="13" t="s">
        <v>306</v>
      </c>
      <c r="D159" s="7" t="s">
        <v>391</v>
      </c>
      <c r="E159" s="2" t="s">
        <v>1307</v>
      </c>
      <c r="F159" s="2" t="s">
        <v>13</v>
      </c>
      <c r="G159" s="31"/>
      <c r="I1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59" t="str">
        <f>IF(tb_zakazchik[[#This Row],[Столбец1]]&lt;&gt;"",SUM($I$2:I159),"")</f>
        <v/>
      </c>
      <c r="K159" t="str">
        <f>IF(tb_zakazchik[[#This Row],[Столбец1]]&lt;&gt;"",tb_baza[[#This Row],[Гос. номер]],"")</f>
        <v/>
      </c>
    </row>
    <row r="160" spans="1:11" x14ac:dyDescent="0.25">
      <c r="A160" s="17" t="s">
        <v>529</v>
      </c>
      <c r="B160" s="10" t="s">
        <v>389</v>
      </c>
      <c r="C160" s="13" t="s">
        <v>306</v>
      </c>
      <c r="D160" s="7" t="s">
        <v>391</v>
      </c>
      <c r="E160" s="2" t="s">
        <v>1307</v>
      </c>
      <c r="F160" s="2" t="s">
        <v>13</v>
      </c>
      <c r="G160" s="31"/>
      <c r="I1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0" t="str">
        <f>IF(tb_zakazchik[[#This Row],[Столбец1]]&lt;&gt;"",SUM($I$2:I160),"")</f>
        <v/>
      </c>
      <c r="K160" t="str">
        <f>IF(tb_zakazchik[[#This Row],[Столбец1]]&lt;&gt;"",tb_baza[[#This Row],[Гос. номер]],"")</f>
        <v/>
      </c>
    </row>
    <row r="161" spans="1:11" x14ac:dyDescent="0.25">
      <c r="A161" s="17" t="s">
        <v>534</v>
      </c>
      <c r="B161" s="10" t="s">
        <v>389</v>
      </c>
      <c r="C161" s="13" t="s">
        <v>306</v>
      </c>
      <c r="D161" s="7" t="s">
        <v>391</v>
      </c>
      <c r="E161" s="2" t="s">
        <v>1307</v>
      </c>
      <c r="F161" s="2" t="s">
        <v>13</v>
      </c>
      <c r="G161" s="31"/>
      <c r="I1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1" t="str">
        <f>IF(tb_zakazchik[[#This Row],[Столбец1]]&lt;&gt;"",SUM($I$2:I161),"")</f>
        <v/>
      </c>
      <c r="K161" t="str">
        <f>IF(tb_zakazchik[[#This Row],[Столбец1]]&lt;&gt;"",tb_baza[[#This Row],[Гос. номер]],"")</f>
        <v/>
      </c>
    </row>
    <row r="162" spans="1:11" x14ac:dyDescent="0.25">
      <c r="A162" s="17" t="s">
        <v>694</v>
      </c>
      <c r="B162" s="10" t="s">
        <v>693</v>
      </c>
      <c r="C162" s="13" t="s">
        <v>306</v>
      </c>
      <c r="D162" s="7" t="s">
        <v>391</v>
      </c>
      <c r="E162" s="2" t="s">
        <v>1307</v>
      </c>
      <c r="F162" s="2" t="s">
        <v>6</v>
      </c>
      <c r="G162" s="31"/>
      <c r="I1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2" t="str">
        <f>IF(tb_zakazchik[[#This Row],[Столбец1]]&lt;&gt;"",SUM($I$2:I162),"")</f>
        <v/>
      </c>
      <c r="K162" t="str">
        <f>IF(tb_zakazchik[[#This Row],[Столбец1]]&lt;&gt;"",tb_baza[[#This Row],[Гос. номер]],"")</f>
        <v/>
      </c>
    </row>
    <row r="163" spans="1:11" x14ac:dyDescent="0.25">
      <c r="A163" s="17" t="s">
        <v>390</v>
      </c>
      <c r="B163" s="10" t="s">
        <v>389</v>
      </c>
      <c r="C163" s="13" t="s">
        <v>306</v>
      </c>
      <c r="D163" s="7" t="s">
        <v>391</v>
      </c>
      <c r="E163" s="2" t="s">
        <v>1307</v>
      </c>
      <c r="F163" s="2" t="s">
        <v>13</v>
      </c>
      <c r="G163" s="31"/>
      <c r="I1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3" t="str">
        <f>IF(tb_zakazchik[[#This Row],[Столбец1]]&lt;&gt;"",SUM($I$2:I163),"")</f>
        <v/>
      </c>
      <c r="K163" t="str">
        <f>IF(tb_zakazchik[[#This Row],[Столбец1]]&lt;&gt;"",tb_baza[[#This Row],[Гос. номер]],"")</f>
        <v/>
      </c>
    </row>
    <row r="164" spans="1:11" x14ac:dyDescent="0.25">
      <c r="A164" s="17" t="s">
        <v>659</v>
      </c>
      <c r="B164" s="10" t="s">
        <v>389</v>
      </c>
      <c r="C164" s="13" t="s">
        <v>306</v>
      </c>
      <c r="D164" s="7" t="s">
        <v>391</v>
      </c>
      <c r="E164" s="2" t="s">
        <v>1307</v>
      </c>
      <c r="F164" s="2" t="s">
        <v>6</v>
      </c>
      <c r="G164" s="31"/>
      <c r="I1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4" t="str">
        <f>IF(tb_zakazchik[[#This Row],[Столбец1]]&lt;&gt;"",SUM($I$2:I164),"")</f>
        <v/>
      </c>
      <c r="K164" t="str">
        <f>IF(tb_zakazchik[[#This Row],[Столбец1]]&lt;&gt;"",tb_baza[[#This Row],[Гос. номер]],"")</f>
        <v/>
      </c>
    </row>
    <row r="165" spans="1:11" x14ac:dyDescent="0.25">
      <c r="A165" s="17" t="s">
        <v>661</v>
      </c>
      <c r="B165" s="10" t="s">
        <v>389</v>
      </c>
      <c r="C165" s="13" t="s">
        <v>306</v>
      </c>
      <c r="D165" s="7" t="s">
        <v>391</v>
      </c>
      <c r="E165" s="2" t="s">
        <v>1307</v>
      </c>
      <c r="F165" s="2" t="s">
        <v>13</v>
      </c>
      <c r="G165" s="31"/>
      <c r="I1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5" t="str">
        <f>IF(tb_zakazchik[[#This Row],[Столбец1]]&lt;&gt;"",SUM($I$2:I165),"")</f>
        <v/>
      </c>
      <c r="K165" t="str">
        <f>IF(tb_zakazchik[[#This Row],[Столбец1]]&lt;&gt;"",tb_baza[[#This Row],[Гос. номер]],"")</f>
        <v/>
      </c>
    </row>
    <row r="166" spans="1:11" x14ac:dyDescent="0.25">
      <c r="A166" s="17" t="s">
        <v>658</v>
      </c>
      <c r="B166" s="10" t="s">
        <v>389</v>
      </c>
      <c r="C166" s="13" t="s">
        <v>306</v>
      </c>
      <c r="D166" s="7" t="s">
        <v>391</v>
      </c>
      <c r="E166" s="2" t="s">
        <v>1307</v>
      </c>
      <c r="F166" s="2" t="s">
        <v>6</v>
      </c>
      <c r="G166" s="31"/>
      <c r="I1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6" t="str">
        <f>IF(tb_zakazchik[[#This Row],[Столбец1]]&lt;&gt;"",SUM($I$2:I166),"")</f>
        <v/>
      </c>
      <c r="K166" t="str">
        <f>IF(tb_zakazchik[[#This Row],[Столбец1]]&lt;&gt;"",tb_baza[[#This Row],[Гос. номер]],"")</f>
        <v/>
      </c>
    </row>
    <row r="167" spans="1:11" x14ac:dyDescent="0.25">
      <c r="A167" s="17" t="s">
        <v>671</v>
      </c>
      <c r="B167" s="10" t="s">
        <v>389</v>
      </c>
      <c r="C167" s="13" t="s">
        <v>306</v>
      </c>
      <c r="D167" s="7" t="s">
        <v>391</v>
      </c>
      <c r="E167" s="2" t="s">
        <v>1307</v>
      </c>
      <c r="F167" s="2" t="s">
        <v>13</v>
      </c>
      <c r="G167" s="31"/>
      <c r="I1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7" t="str">
        <f>IF(tb_zakazchik[[#This Row],[Столбец1]]&lt;&gt;"",SUM($I$2:I167),"")</f>
        <v/>
      </c>
      <c r="K167" t="str">
        <f>IF(tb_zakazchik[[#This Row],[Столбец1]]&lt;&gt;"",tb_baza[[#This Row],[Гос. номер]],"")</f>
        <v/>
      </c>
    </row>
    <row r="168" spans="1:11" x14ac:dyDescent="0.25">
      <c r="A168" s="17" t="s">
        <v>670</v>
      </c>
      <c r="B168" s="10" t="s">
        <v>389</v>
      </c>
      <c r="C168" s="13" t="s">
        <v>306</v>
      </c>
      <c r="D168" s="7" t="s">
        <v>391</v>
      </c>
      <c r="E168" s="2" t="s">
        <v>1307</v>
      </c>
      <c r="F168" s="2" t="s">
        <v>6</v>
      </c>
      <c r="G168" s="31"/>
      <c r="I1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8" t="str">
        <f>IF(tb_zakazchik[[#This Row],[Столбец1]]&lt;&gt;"",SUM($I$2:I168),"")</f>
        <v/>
      </c>
      <c r="K168" t="str">
        <f>IF(tb_zakazchik[[#This Row],[Столбец1]]&lt;&gt;"",tb_baza[[#This Row],[Гос. номер]],"")</f>
        <v/>
      </c>
    </row>
    <row r="169" spans="1:11" x14ac:dyDescent="0.25">
      <c r="A169" s="17" t="s">
        <v>674</v>
      </c>
      <c r="B169" s="10" t="s">
        <v>389</v>
      </c>
      <c r="C169" s="13" t="s">
        <v>306</v>
      </c>
      <c r="D169" s="7" t="s">
        <v>391</v>
      </c>
      <c r="E169" s="2" t="s">
        <v>2</v>
      </c>
      <c r="F169" s="2" t="s">
        <v>3</v>
      </c>
      <c r="G169" s="31"/>
      <c r="I1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69" t="str">
        <f>IF(tb_zakazchik[[#This Row],[Столбец1]]&lt;&gt;"",SUM($I$2:I169),"")</f>
        <v/>
      </c>
      <c r="K169" t="str">
        <f>IF(tb_zakazchik[[#This Row],[Столбец1]]&lt;&gt;"",tb_baza[[#This Row],[Гос. номер]],"")</f>
        <v/>
      </c>
    </row>
    <row r="170" spans="1:11" x14ac:dyDescent="0.25">
      <c r="A170" s="17" t="s">
        <v>31</v>
      </c>
      <c r="B170" s="10" t="s">
        <v>30</v>
      </c>
      <c r="C170" s="13" t="s">
        <v>306</v>
      </c>
      <c r="D170" s="7" t="s">
        <v>1284</v>
      </c>
      <c r="E170" s="2" t="s">
        <v>2</v>
      </c>
      <c r="F170" s="2" t="s">
        <v>3</v>
      </c>
      <c r="G170" s="31"/>
      <c r="I1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0" t="str">
        <f>IF(tb_zakazchik[[#This Row],[Столбец1]]&lt;&gt;"",SUM($I$2:I170),"")</f>
        <v/>
      </c>
      <c r="K170" t="str">
        <f>IF(tb_zakazchik[[#This Row],[Столбец1]]&lt;&gt;"",tb_baza[[#This Row],[Гос. номер]],"")</f>
        <v/>
      </c>
    </row>
    <row r="171" spans="1:11" x14ac:dyDescent="0.25">
      <c r="A171" s="17" t="s">
        <v>341</v>
      </c>
      <c r="B171" s="10" t="s">
        <v>340</v>
      </c>
      <c r="C171" s="13" t="s">
        <v>306</v>
      </c>
      <c r="D171" s="7" t="s">
        <v>1288</v>
      </c>
      <c r="E171" s="3"/>
      <c r="F171" s="3"/>
      <c r="G171" s="31"/>
      <c r="I1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1" t="str">
        <f>IF(tb_zakazchik[[#This Row],[Столбец1]]&lt;&gt;"",SUM($I$2:I171),"")</f>
        <v/>
      </c>
      <c r="K171" t="str">
        <f>IF(tb_zakazchik[[#This Row],[Столбец1]]&lt;&gt;"",tb_baza[[#This Row],[Гос. номер]],"")</f>
        <v/>
      </c>
    </row>
    <row r="172" spans="1:11" x14ac:dyDescent="0.25">
      <c r="A172" s="17" t="s">
        <v>349</v>
      </c>
      <c r="B172" s="10" t="s">
        <v>216</v>
      </c>
      <c r="C172" s="13" t="s">
        <v>306</v>
      </c>
      <c r="D172" s="7" t="s">
        <v>1283</v>
      </c>
      <c r="E172" s="2" t="s">
        <v>1307</v>
      </c>
      <c r="F172" s="3"/>
      <c r="G172" s="31"/>
      <c r="I1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2" t="str">
        <f>IF(tb_zakazchik[[#This Row],[Столбец1]]&lt;&gt;"",SUM($I$2:I172),"")</f>
        <v/>
      </c>
      <c r="K172" t="str">
        <f>IF(tb_zakazchik[[#This Row],[Столбец1]]&lt;&gt;"",tb_baza[[#This Row],[Гос. номер]],"")</f>
        <v/>
      </c>
    </row>
    <row r="173" spans="1:11" x14ac:dyDescent="0.25">
      <c r="A173" s="17" t="s">
        <v>239</v>
      </c>
      <c r="B173" s="10" t="s">
        <v>216</v>
      </c>
      <c r="C173" s="13" t="s">
        <v>306</v>
      </c>
      <c r="D173" s="7" t="s">
        <v>1283</v>
      </c>
      <c r="E173" s="2" t="s">
        <v>1307</v>
      </c>
      <c r="F173" s="3"/>
      <c r="G173" s="31"/>
      <c r="I1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3" t="str">
        <f>IF(tb_zakazchik[[#This Row],[Столбец1]]&lt;&gt;"",SUM($I$2:I173),"")</f>
        <v/>
      </c>
      <c r="K173" t="str">
        <f>IF(tb_zakazchik[[#This Row],[Столбец1]]&lt;&gt;"",tb_baza[[#This Row],[Гос. номер]],"")</f>
        <v/>
      </c>
    </row>
    <row r="174" spans="1:11" x14ac:dyDescent="0.25">
      <c r="A174" s="17" t="s">
        <v>364</v>
      </c>
      <c r="B174" s="10" t="s">
        <v>216</v>
      </c>
      <c r="C174" s="13" t="s">
        <v>306</v>
      </c>
      <c r="D174" s="7" t="s">
        <v>1283</v>
      </c>
      <c r="E174" s="2" t="s">
        <v>1307</v>
      </c>
      <c r="F174" s="3"/>
      <c r="G174" s="31"/>
      <c r="I1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4" t="str">
        <f>IF(tb_zakazchik[[#This Row],[Столбец1]]&lt;&gt;"",SUM($I$2:I174),"")</f>
        <v/>
      </c>
      <c r="K174" t="str">
        <f>IF(tb_zakazchik[[#This Row],[Столбец1]]&lt;&gt;"",tb_baza[[#This Row],[Гос. номер]],"")</f>
        <v/>
      </c>
    </row>
    <row r="175" spans="1:11" x14ac:dyDescent="0.25">
      <c r="A175" s="17" t="s">
        <v>351</v>
      </c>
      <c r="B175" s="10" t="s">
        <v>216</v>
      </c>
      <c r="C175" s="13" t="s">
        <v>306</v>
      </c>
      <c r="D175" s="7" t="s">
        <v>1283</v>
      </c>
      <c r="E175" s="2" t="s">
        <v>1307</v>
      </c>
      <c r="F175" s="3"/>
      <c r="G175" s="31"/>
      <c r="I1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5" t="str">
        <f>IF(tb_zakazchik[[#This Row],[Столбец1]]&lt;&gt;"",SUM($I$2:I175),"")</f>
        <v/>
      </c>
      <c r="K175" t="str">
        <f>IF(tb_zakazchik[[#This Row],[Столбец1]]&lt;&gt;"",tb_baza[[#This Row],[Гос. номер]],"")</f>
        <v/>
      </c>
    </row>
    <row r="176" spans="1:11" x14ac:dyDescent="0.25">
      <c r="A176" s="17" t="s">
        <v>217</v>
      </c>
      <c r="B176" s="10" t="s">
        <v>216</v>
      </c>
      <c r="C176" s="13" t="s">
        <v>306</v>
      </c>
      <c r="D176" s="7" t="s">
        <v>1283</v>
      </c>
      <c r="E176" s="2" t="s">
        <v>1307</v>
      </c>
      <c r="F176" s="3"/>
      <c r="G176" s="31"/>
      <c r="I1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6" t="str">
        <f>IF(tb_zakazchik[[#This Row],[Столбец1]]&lt;&gt;"",SUM($I$2:I176),"")</f>
        <v/>
      </c>
      <c r="K176" t="str">
        <f>IF(tb_zakazchik[[#This Row],[Столбец1]]&lt;&gt;"",tb_baza[[#This Row],[Гос. номер]],"")</f>
        <v/>
      </c>
    </row>
    <row r="177" spans="1:11" x14ac:dyDescent="0.25">
      <c r="A177" s="17" t="s">
        <v>342</v>
      </c>
      <c r="B177" s="10" t="s">
        <v>216</v>
      </c>
      <c r="C177" s="13" t="s">
        <v>306</v>
      </c>
      <c r="D177" s="7" t="s">
        <v>1283</v>
      </c>
      <c r="E177" s="2" t="s">
        <v>1307</v>
      </c>
      <c r="F177" s="3"/>
      <c r="G177" s="31"/>
      <c r="I1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7" t="str">
        <f>IF(tb_zakazchik[[#This Row],[Столбец1]]&lt;&gt;"",SUM($I$2:I177),"")</f>
        <v/>
      </c>
      <c r="K177" t="str">
        <f>IF(tb_zakazchik[[#This Row],[Столбец1]]&lt;&gt;"",tb_baza[[#This Row],[Гос. номер]],"")</f>
        <v/>
      </c>
    </row>
    <row r="178" spans="1:11" x14ac:dyDescent="0.25">
      <c r="A178" s="17" t="s">
        <v>360</v>
      </c>
      <c r="B178" s="10" t="s">
        <v>216</v>
      </c>
      <c r="C178" s="13" t="s">
        <v>306</v>
      </c>
      <c r="D178" s="7" t="s">
        <v>1283</v>
      </c>
      <c r="E178" s="2" t="s">
        <v>1307</v>
      </c>
      <c r="F178" s="3"/>
      <c r="G178" s="31"/>
      <c r="I1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8" t="str">
        <f>IF(tb_zakazchik[[#This Row],[Столбец1]]&lt;&gt;"",SUM($I$2:I178),"")</f>
        <v/>
      </c>
      <c r="K178" t="str">
        <f>IF(tb_zakazchik[[#This Row],[Столбец1]]&lt;&gt;"",tb_baza[[#This Row],[Гос. номер]],"")</f>
        <v/>
      </c>
    </row>
    <row r="179" spans="1:11" x14ac:dyDescent="0.25">
      <c r="A179" s="17" t="s">
        <v>344</v>
      </c>
      <c r="B179" s="10" t="s">
        <v>216</v>
      </c>
      <c r="C179" s="13" t="s">
        <v>306</v>
      </c>
      <c r="D179" s="7" t="s">
        <v>1283</v>
      </c>
      <c r="E179" s="2" t="s">
        <v>1307</v>
      </c>
      <c r="F179" s="3"/>
      <c r="G179" s="31"/>
      <c r="I1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79" t="str">
        <f>IF(tb_zakazchik[[#This Row],[Столбец1]]&lt;&gt;"",SUM($I$2:I179),"")</f>
        <v/>
      </c>
      <c r="K179" t="str">
        <f>IF(tb_zakazchik[[#This Row],[Столбец1]]&lt;&gt;"",tb_baza[[#This Row],[Гос. номер]],"")</f>
        <v/>
      </c>
    </row>
    <row r="180" spans="1:11" x14ac:dyDescent="0.25">
      <c r="A180" s="17" t="s">
        <v>359</v>
      </c>
      <c r="B180" s="10" t="s">
        <v>216</v>
      </c>
      <c r="C180" s="13" t="s">
        <v>306</v>
      </c>
      <c r="D180" s="7" t="s">
        <v>1283</v>
      </c>
      <c r="E180" s="2" t="s">
        <v>1307</v>
      </c>
      <c r="F180" s="3"/>
      <c r="G180" s="31"/>
      <c r="I1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0" t="str">
        <f>IF(tb_zakazchik[[#This Row],[Столбец1]]&lt;&gt;"",SUM($I$2:I180),"")</f>
        <v/>
      </c>
      <c r="K180" t="str">
        <f>IF(tb_zakazchik[[#This Row],[Столбец1]]&lt;&gt;"",tb_baza[[#This Row],[Гос. номер]],"")</f>
        <v/>
      </c>
    </row>
    <row r="181" spans="1:11" x14ac:dyDescent="0.25">
      <c r="A181" s="17" t="s">
        <v>240</v>
      </c>
      <c r="B181" s="10" t="s">
        <v>216</v>
      </c>
      <c r="C181" s="13" t="s">
        <v>306</v>
      </c>
      <c r="D181" s="7" t="s">
        <v>1283</v>
      </c>
      <c r="E181" s="2" t="s">
        <v>1307</v>
      </c>
      <c r="F181" s="3"/>
      <c r="G181" s="31"/>
      <c r="I1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1" t="str">
        <f>IF(tb_zakazchik[[#This Row],[Столбец1]]&lt;&gt;"",SUM($I$2:I181),"")</f>
        <v/>
      </c>
      <c r="K181" t="str">
        <f>IF(tb_zakazchik[[#This Row],[Столбец1]]&lt;&gt;"",tb_baza[[#This Row],[Гос. номер]],"")</f>
        <v/>
      </c>
    </row>
    <row r="182" spans="1:11" x14ac:dyDescent="0.25">
      <c r="A182" s="17" t="s">
        <v>353</v>
      </c>
      <c r="B182" s="10" t="s">
        <v>216</v>
      </c>
      <c r="C182" s="13" t="s">
        <v>306</v>
      </c>
      <c r="D182" s="7" t="s">
        <v>1283</v>
      </c>
      <c r="E182" s="2" t="s">
        <v>1307</v>
      </c>
      <c r="F182" s="3"/>
      <c r="G182" s="31"/>
      <c r="I1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2" t="str">
        <f>IF(tb_zakazchik[[#This Row],[Столбец1]]&lt;&gt;"",SUM($I$2:I182),"")</f>
        <v/>
      </c>
      <c r="K182" t="str">
        <f>IF(tb_zakazchik[[#This Row],[Столбец1]]&lt;&gt;"",tb_baza[[#This Row],[Гос. номер]],"")</f>
        <v/>
      </c>
    </row>
    <row r="183" spans="1:11" x14ac:dyDescent="0.25">
      <c r="A183" s="17" t="s">
        <v>345</v>
      </c>
      <c r="B183" s="10" t="s">
        <v>216</v>
      </c>
      <c r="C183" s="13" t="s">
        <v>306</v>
      </c>
      <c r="D183" s="7" t="s">
        <v>1283</v>
      </c>
      <c r="E183" s="2" t="s">
        <v>1307</v>
      </c>
      <c r="F183" s="3"/>
      <c r="G183" s="31"/>
      <c r="I1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3" t="str">
        <f>IF(tb_zakazchik[[#This Row],[Столбец1]]&lt;&gt;"",SUM($I$2:I183),"")</f>
        <v/>
      </c>
      <c r="K183" t="str">
        <f>IF(tb_zakazchik[[#This Row],[Столбец1]]&lt;&gt;"",tb_baza[[#This Row],[Гос. номер]],"")</f>
        <v/>
      </c>
    </row>
    <row r="184" spans="1:11" x14ac:dyDescent="0.25">
      <c r="A184" s="17" t="s">
        <v>237</v>
      </c>
      <c r="B184" s="10" t="s">
        <v>216</v>
      </c>
      <c r="C184" s="13" t="s">
        <v>306</v>
      </c>
      <c r="D184" s="7" t="s">
        <v>1283</v>
      </c>
      <c r="E184" s="2" t="s">
        <v>1307</v>
      </c>
      <c r="F184" s="3"/>
      <c r="G184" s="31"/>
      <c r="I1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4" t="str">
        <f>IF(tb_zakazchik[[#This Row],[Столбец1]]&lt;&gt;"",SUM($I$2:I184),"")</f>
        <v/>
      </c>
      <c r="K184" t="str">
        <f>IF(tb_zakazchik[[#This Row],[Столбец1]]&lt;&gt;"",tb_baza[[#This Row],[Гос. номер]],"")</f>
        <v/>
      </c>
    </row>
    <row r="185" spans="1:11" x14ac:dyDescent="0.25">
      <c r="A185" s="17" t="s">
        <v>362</v>
      </c>
      <c r="B185" s="10" t="s">
        <v>216</v>
      </c>
      <c r="C185" s="13" t="s">
        <v>306</v>
      </c>
      <c r="D185" s="7" t="s">
        <v>1283</v>
      </c>
      <c r="E185" s="2" t="s">
        <v>1307</v>
      </c>
      <c r="F185" s="3"/>
      <c r="G185" s="31"/>
      <c r="I1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5" t="str">
        <f>IF(tb_zakazchik[[#This Row],[Столбец1]]&lt;&gt;"",SUM($I$2:I185),"")</f>
        <v/>
      </c>
      <c r="K185" t="str">
        <f>IF(tb_zakazchik[[#This Row],[Столбец1]]&lt;&gt;"",tb_baza[[#This Row],[Гос. номер]],"")</f>
        <v/>
      </c>
    </row>
    <row r="186" spans="1:11" x14ac:dyDescent="0.25">
      <c r="A186" s="17" t="s">
        <v>687</v>
      </c>
      <c r="B186" s="10" t="s">
        <v>216</v>
      </c>
      <c r="C186" s="13" t="s">
        <v>306</v>
      </c>
      <c r="D186" s="7" t="s">
        <v>1283</v>
      </c>
      <c r="E186" s="2" t="s">
        <v>1307</v>
      </c>
      <c r="F186" s="3"/>
      <c r="G186" s="31"/>
      <c r="I1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6" t="str">
        <f>IF(tb_zakazchik[[#This Row],[Столбец1]]&lt;&gt;"",SUM($I$2:I186),"")</f>
        <v/>
      </c>
      <c r="K186" t="str">
        <f>IF(tb_zakazchik[[#This Row],[Столбец1]]&lt;&gt;"",tb_baza[[#This Row],[Гос. номер]],"")</f>
        <v/>
      </c>
    </row>
    <row r="187" spans="1:11" x14ac:dyDescent="0.25">
      <c r="A187" s="17" t="s">
        <v>688</v>
      </c>
      <c r="B187" s="10" t="s">
        <v>216</v>
      </c>
      <c r="C187" s="13" t="s">
        <v>306</v>
      </c>
      <c r="D187" s="7" t="s">
        <v>1283</v>
      </c>
      <c r="E187" s="2" t="s">
        <v>1307</v>
      </c>
      <c r="F187" s="3"/>
      <c r="G187" s="31"/>
      <c r="I1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7" t="str">
        <f>IF(tb_zakazchik[[#This Row],[Столбец1]]&lt;&gt;"",SUM($I$2:I187),"")</f>
        <v/>
      </c>
      <c r="K187" t="str">
        <f>IF(tb_zakazchik[[#This Row],[Столбец1]]&lt;&gt;"",tb_baza[[#This Row],[Гос. номер]],"")</f>
        <v/>
      </c>
    </row>
    <row r="188" spans="1:11" x14ac:dyDescent="0.25">
      <c r="A188" s="17" t="s">
        <v>634</v>
      </c>
      <c r="B188" s="10" t="s">
        <v>216</v>
      </c>
      <c r="C188" s="13" t="s">
        <v>306</v>
      </c>
      <c r="D188" s="7" t="s">
        <v>1283</v>
      </c>
      <c r="E188" s="2" t="s">
        <v>1307</v>
      </c>
      <c r="F188" s="3"/>
      <c r="G188" s="31"/>
      <c r="I1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8" t="str">
        <f>IF(tb_zakazchik[[#This Row],[Столбец1]]&lt;&gt;"",SUM($I$2:I188),"")</f>
        <v/>
      </c>
      <c r="K188" t="str">
        <f>IF(tb_zakazchik[[#This Row],[Столбец1]]&lt;&gt;"",tb_baza[[#This Row],[Гос. номер]],"")</f>
        <v/>
      </c>
    </row>
    <row r="189" spans="1:11" x14ac:dyDescent="0.25">
      <c r="A189" s="17" t="s">
        <v>347</v>
      </c>
      <c r="B189" s="10" t="s">
        <v>216</v>
      </c>
      <c r="C189" s="13" t="s">
        <v>306</v>
      </c>
      <c r="D189" s="7" t="s">
        <v>1283</v>
      </c>
      <c r="E189" s="2" t="s">
        <v>1307</v>
      </c>
      <c r="F189" s="3"/>
      <c r="G189" s="31"/>
      <c r="I1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89" t="str">
        <f>IF(tb_zakazchik[[#This Row],[Столбец1]]&lt;&gt;"",SUM($I$2:I189),"")</f>
        <v/>
      </c>
      <c r="K189" t="str">
        <f>IF(tb_zakazchik[[#This Row],[Столбец1]]&lt;&gt;"",tb_baza[[#This Row],[Гос. номер]],"")</f>
        <v/>
      </c>
    </row>
    <row r="190" spans="1:11" x14ac:dyDescent="0.25">
      <c r="A190" s="17" t="s">
        <v>904</v>
      </c>
      <c r="B190" s="10" t="s">
        <v>30</v>
      </c>
      <c r="C190" s="13" t="s">
        <v>306</v>
      </c>
      <c r="D190" s="7" t="s">
        <v>1283</v>
      </c>
      <c r="E190" s="2" t="s">
        <v>1322</v>
      </c>
      <c r="F190" s="2" t="s">
        <v>13</v>
      </c>
      <c r="G190" s="31"/>
      <c r="I1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0" t="str">
        <f>IF(tb_zakazchik[[#This Row],[Столбец1]]&lt;&gt;"",SUM($I$2:I190),"")</f>
        <v/>
      </c>
      <c r="K190" t="str">
        <f>IF(tb_zakazchik[[#This Row],[Столбец1]]&lt;&gt;"",tb_baza[[#This Row],[Гос. номер]],"")</f>
        <v/>
      </c>
    </row>
    <row r="191" spans="1:11" x14ac:dyDescent="0.25">
      <c r="A191" s="17" t="s">
        <v>288</v>
      </c>
      <c r="B191" s="10" t="s">
        <v>123</v>
      </c>
      <c r="C191" s="13" t="s">
        <v>306</v>
      </c>
      <c r="D191" s="7" t="s">
        <v>1274</v>
      </c>
      <c r="E191" s="2" t="s">
        <v>1307</v>
      </c>
      <c r="F191" s="2" t="s">
        <v>13</v>
      </c>
      <c r="G191" s="31"/>
      <c r="I1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1" t="str">
        <f>IF(tb_zakazchik[[#This Row],[Столбец1]]&lt;&gt;"",SUM($I$2:I191),"")</f>
        <v/>
      </c>
      <c r="K191" t="str">
        <f>IF(tb_zakazchik[[#This Row],[Столбец1]]&lt;&gt;"",tb_baza[[#This Row],[Гос. номер]],"")</f>
        <v/>
      </c>
    </row>
    <row r="192" spans="1:11" x14ac:dyDescent="0.25">
      <c r="A192" s="17" t="s">
        <v>483</v>
      </c>
      <c r="B192" s="10" t="s">
        <v>162</v>
      </c>
      <c r="C192" s="13" t="s">
        <v>306</v>
      </c>
      <c r="D192" s="7" t="s">
        <v>1274</v>
      </c>
      <c r="E192" s="2" t="s">
        <v>1307</v>
      </c>
      <c r="F192" s="2" t="s">
        <v>3</v>
      </c>
      <c r="G192" s="31"/>
      <c r="I1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2" t="str">
        <f>IF(tb_zakazchik[[#This Row],[Столбец1]]&lt;&gt;"",SUM($I$2:I192),"")</f>
        <v/>
      </c>
      <c r="K192" t="str">
        <f>IF(tb_zakazchik[[#This Row],[Столбец1]]&lt;&gt;"",tb_baza[[#This Row],[Гос. номер]],"")</f>
        <v/>
      </c>
    </row>
    <row r="193" spans="1:11" x14ac:dyDescent="0.25">
      <c r="A193" s="17" t="s">
        <v>972</v>
      </c>
      <c r="B193" s="10" t="s">
        <v>123</v>
      </c>
      <c r="C193" s="13" t="s">
        <v>306</v>
      </c>
      <c r="D193" s="7" t="s">
        <v>1274</v>
      </c>
      <c r="E193" s="2" t="s">
        <v>1307</v>
      </c>
      <c r="F193" s="2" t="s">
        <v>3</v>
      </c>
      <c r="G193" s="31"/>
      <c r="I1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3" t="str">
        <f>IF(tb_zakazchik[[#This Row],[Столбец1]]&lt;&gt;"",SUM($I$2:I193),"")</f>
        <v/>
      </c>
      <c r="K193" t="str">
        <f>IF(tb_zakazchik[[#This Row],[Столбец1]]&lt;&gt;"",tb_baza[[#This Row],[Гос. номер]],"")</f>
        <v/>
      </c>
    </row>
    <row r="194" spans="1:11" x14ac:dyDescent="0.25">
      <c r="A194" s="17" t="s">
        <v>910</v>
      </c>
      <c r="B194" s="10" t="s">
        <v>123</v>
      </c>
      <c r="C194" s="13" t="s">
        <v>306</v>
      </c>
      <c r="D194" s="7" t="s">
        <v>1274</v>
      </c>
      <c r="E194" s="2" t="s">
        <v>1307</v>
      </c>
      <c r="F194" s="2" t="s">
        <v>13</v>
      </c>
      <c r="G194" s="31"/>
      <c r="I1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4" t="str">
        <f>IF(tb_zakazchik[[#This Row],[Столбец1]]&lt;&gt;"",SUM($I$2:I194),"")</f>
        <v/>
      </c>
      <c r="K194" t="str">
        <f>IF(tb_zakazchik[[#This Row],[Столбец1]]&lt;&gt;"",tb_baza[[#This Row],[Гос. номер]],"")</f>
        <v/>
      </c>
    </row>
    <row r="195" spans="1:11" x14ac:dyDescent="0.25">
      <c r="A195" s="17" t="s">
        <v>505</v>
      </c>
      <c r="B195" s="10" t="s">
        <v>123</v>
      </c>
      <c r="C195" s="13" t="s">
        <v>306</v>
      </c>
      <c r="D195" s="7" t="s">
        <v>1274</v>
      </c>
      <c r="E195" s="2" t="s">
        <v>1307</v>
      </c>
      <c r="F195" s="2" t="s">
        <v>13</v>
      </c>
      <c r="G195" s="31"/>
      <c r="I1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5" t="str">
        <f>IF(tb_zakazchik[[#This Row],[Столбец1]]&lt;&gt;"",SUM($I$2:I195),"")</f>
        <v/>
      </c>
      <c r="K195" t="str">
        <f>IF(tb_zakazchik[[#This Row],[Столбец1]]&lt;&gt;"",tb_baza[[#This Row],[Гос. номер]],"")</f>
        <v/>
      </c>
    </row>
    <row r="196" spans="1:11" x14ac:dyDescent="0.25">
      <c r="A196" s="17" t="s">
        <v>124</v>
      </c>
      <c r="B196" s="10" t="s">
        <v>123</v>
      </c>
      <c r="C196" s="13" t="s">
        <v>306</v>
      </c>
      <c r="D196" s="7" t="s">
        <v>1274</v>
      </c>
      <c r="E196" s="2" t="s">
        <v>1307</v>
      </c>
      <c r="F196" s="2" t="s">
        <v>6</v>
      </c>
      <c r="G196" s="31"/>
      <c r="I1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6" t="str">
        <f>IF(tb_zakazchik[[#This Row],[Столбец1]]&lt;&gt;"",SUM($I$2:I196),"")</f>
        <v/>
      </c>
      <c r="K196" t="str">
        <f>IF(tb_zakazchik[[#This Row],[Столбец1]]&lt;&gt;"",tb_baza[[#This Row],[Гос. номер]],"")</f>
        <v/>
      </c>
    </row>
    <row r="197" spans="1:11" x14ac:dyDescent="0.25">
      <c r="A197" s="17" t="s">
        <v>1051</v>
      </c>
      <c r="B197" s="10" t="s">
        <v>155</v>
      </c>
      <c r="C197" s="13" t="s">
        <v>306</v>
      </c>
      <c r="D197" s="7" t="s">
        <v>1274</v>
      </c>
      <c r="E197" s="2" t="s">
        <v>1307</v>
      </c>
      <c r="F197" s="2" t="s">
        <v>3</v>
      </c>
      <c r="G197" s="31"/>
      <c r="I1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7" t="str">
        <f>IF(tb_zakazchik[[#This Row],[Столбец1]]&lt;&gt;"",SUM($I$2:I197),"")</f>
        <v/>
      </c>
      <c r="K197" t="str">
        <f>IF(tb_zakazchik[[#This Row],[Столбец1]]&lt;&gt;"",tb_baza[[#This Row],[Гос. номер]],"")</f>
        <v/>
      </c>
    </row>
    <row r="198" spans="1:11" x14ac:dyDescent="0.25">
      <c r="A198" s="17" t="s">
        <v>928</v>
      </c>
      <c r="B198" s="10" t="s">
        <v>121</v>
      </c>
      <c r="C198" s="13" t="s">
        <v>306</v>
      </c>
      <c r="D198" s="7" t="s">
        <v>1274</v>
      </c>
      <c r="E198" s="2" t="s">
        <v>1307</v>
      </c>
      <c r="F198" s="2" t="s">
        <v>13</v>
      </c>
      <c r="G198" s="31"/>
      <c r="I1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8" t="str">
        <f>IF(tb_zakazchik[[#This Row],[Столбец1]]&lt;&gt;"",SUM($I$2:I198),"")</f>
        <v/>
      </c>
      <c r="K198" t="str">
        <f>IF(tb_zakazchik[[#This Row],[Столбец1]]&lt;&gt;"",tb_baza[[#This Row],[Гос. номер]],"")</f>
        <v/>
      </c>
    </row>
    <row r="199" spans="1:11" x14ac:dyDescent="0.25">
      <c r="A199" s="17" t="s">
        <v>690</v>
      </c>
      <c r="B199" s="10" t="s">
        <v>243</v>
      </c>
      <c r="C199" s="13" t="s">
        <v>306</v>
      </c>
      <c r="D199" s="7" t="s">
        <v>1274</v>
      </c>
      <c r="E199" s="2" t="s">
        <v>1307</v>
      </c>
      <c r="F199" s="2" t="s">
        <v>13</v>
      </c>
      <c r="G199" s="31"/>
      <c r="I1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99" t="str">
        <f>IF(tb_zakazchik[[#This Row],[Столбец1]]&lt;&gt;"",SUM($I$2:I199),"")</f>
        <v/>
      </c>
      <c r="K199" t="str">
        <f>IF(tb_zakazchik[[#This Row],[Столбец1]]&lt;&gt;"",tb_baza[[#This Row],[Гос. номер]],"")</f>
        <v/>
      </c>
    </row>
    <row r="200" spans="1:11" x14ac:dyDescent="0.25">
      <c r="A200" s="17" t="s">
        <v>795</v>
      </c>
      <c r="B200" s="10" t="s">
        <v>71</v>
      </c>
      <c r="C200" s="13" t="s">
        <v>306</v>
      </c>
      <c r="D200" s="7" t="s">
        <v>1274</v>
      </c>
      <c r="E200" s="2" t="s">
        <v>1307</v>
      </c>
      <c r="F200" s="2" t="s">
        <v>13</v>
      </c>
      <c r="G200" s="31"/>
      <c r="I2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0" t="str">
        <f>IF(tb_zakazchik[[#This Row],[Столбец1]]&lt;&gt;"",SUM($I$2:I200),"")</f>
        <v/>
      </c>
      <c r="K200" t="str">
        <f>IF(tb_zakazchik[[#This Row],[Столбец1]]&lt;&gt;"",tb_baza[[#This Row],[Гос. номер]],"")</f>
        <v/>
      </c>
    </row>
    <row r="201" spans="1:11" x14ac:dyDescent="0.25">
      <c r="A201" s="17" t="s">
        <v>615</v>
      </c>
      <c r="B201" s="10" t="s">
        <v>51</v>
      </c>
      <c r="C201" s="13" t="s">
        <v>306</v>
      </c>
      <c r="D201" s="7" t="s">
        <v>1274</v>
      </c>
      <c r="E201" s="2" t="s">
        <v>1307</v>
      </c>
      <c r="F201" s="2" t="s">
        <v>3</v>
      </c>
      <c r="G201" s="31"/>
      <c r="I2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1" t="str">
        <f>IF(tb_zakazchik[[#This Row],[Столбец1]]&lt;&gt;"",SUM($I$2:I201),"")</f>
        <v/>
      </c>
      <c r="K201" t="str">
        <f>IF(tb_zakazchik[[#This Row],[Столбец1]]&lt;&gt;"",tb_baza[[#This Row],[Гос. номер]],"")</f>
        <v/>
      </c>
    </row>
    <row r="202" spans="1:11" x14ac:dyDescent="0.25">
      <c r="A202" s="17" t="s">
        <v>227</v>
      </c>
      <c r="B202" s="10" t="s">
        <v>51</v>
      </c>
      <c r="C202" s="13" t="s">
        <v>306</v>
      </c>
      <c r="D202" s="7" t="s">
        <v>1274</v>
      </c>
      <c r="E202" s="2" t="s">
        <v>1307</v>
      </c>
      <c r="F202" s="2" t="s">
        <v>3</v>
      </c>
      <c r="G202" s="31"/>
      <c r="I2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2" t="str">
        <f>IF(tb_zakazchik[[#This Row],[Столбец1]]&lt;&gt;"",SUM($I$2:I202),"")</f>
        <v/>
      </c>
      <c r="K202" t="str">
        <f>IF(tb_zakazchik[[#This Row],[Столбец1]]&lt;&gt;"",tb_baza[[#This Row],[Гос. номер]],"")</f>
        <v/>
      </c>
    </row>
    <row r="203" spans="1:11" x14ac:dyDescent="0.25">
      <c r="A203" s="17" t="s">
        <v>1034</v>
      </c>
      <c r="B203" s="10" t="s">
        <v>172</v>
      </c>
      <c r="C203" s="13" t="s">
        <v>306</v>
      </c>
      <c r="D203" s="7" t="s">
        <v>1274</v>
      </c>
      <c r="E203" s="2" t="s">
        <v>1307</v>
      </c>
      <c r="F203" s="2" t="s">
        <v>3</v>
      </c>
      <c r="G203" s="31"/>
      <c r="I2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3" t="str">
        <f>IF(tb_zakazchik[[#This Row],[Столбец1]]&lt;&gt;"",SUM($I$2:I203),"")</f>
        <v/>
      </c>
      <c r="K203" t="str">
        <f>IF(tb_zakazchik[[#This Row],[Столбец1]]&lt;&gt;"",tb_baza[[#This Row],[Гос. номер]],"")</f>
        <v/>
      </c>
    </row>
    <row r="204" spans="1:11" x14ac:dyDescent="0.25">
      <c r="A204" s="17" t="s">
        <v>52</v>
      </c>
      <c r="B204" s="10" t="s">
        <v>51</v>
      </c>
      <c r="C204" s="13" t="s">
        <v>306</v>
      </c>
      <c r="D204" s="7" t="s">
        <v>1274</v>
      </c>
      <c r="E204" s="2" t="s">
        <v>1307</v>
      </c>
      <c r="F204" s="2" t="s">
        <v>3</v>
      </c>
      <c r="G204" s="31"/>
      <c r="I2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4" t="str">
        <f>IF(tb_zakazchik[[#This Row],[Столбец1]]&lt;&gt;"",SUM($I$2:I204),"")</f>
        <v/>
      </c>
      <c r="K204" t="str">
        <f>IF(tb_zakazchik[[#This Row],[Столбец1]]&lt;&gt;"",tb_baza[[#This Row],[Гос. номер]],"")</f>
        <v/>
      </c>
    </row>
    <row r="205" spans="1:11" x14ac:dyDescent="0.25">
      <c r="A205" s="17" t="s">
        <v>883</v>
      </c>
      <c r="B205" s="10" t="s">
        <v>51</v>
      </c>
      <c r="C205" s="13" t="s">
        <v>306</v>
      </c>
      <c r="D205" s="7" t="s">
        <v>1274</v>
      </c>
      <c r="E205" s="2" t="s">
        <v>1307</v>
      </c>
      <c r="F205" s="2" t="s">
        <v>3</v>
      </c>
      <c r="G205" s="31"/>
      <c r="I2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5" t="str">
        <f>IF(tb_zakazchik[[#This Row],[Столбец1]]&lt;&gt;"",SUM($I$2:I205),"")</f>
        <v/>
      </c>
      <c r="K205" t="str">
        <f>IF(tb_zakazchik[[#This Row],[Столбец1]]&lt;&gt;"",tb_baza[[#This Row],[Гос. номер]],"")</f>
        <v/>
      </c>
    </row>
    <row r="206" spans="1:11" x14ac:dyDescent="0.25">
      <c r="A206" s="17" t="s">
        <v>502</v>
      </c>
      <c r="B206" s="10" t="s">
        <v>501</v>
      </c>
      <c r="C206" s="13" t="s">
        <v>306</v>
      </c>
      <c r="D206" s="7" t="s">
        <v>1274</v>
      </c>
      <c r="E206" s="2" t="s">
        <v>1307</v>
      </c>
      <c r="F206" s="2" t="s">
        <v>3</v>
      </c>
      <c r="G206" s="31"/>
      <c r="I2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6" t="str">
        <f>IF(tb_zakazchik[[#This Row],[Столбец1]]&lt;&gt;"",SUM($I$2:I206),"")</f>
        <v/>
      </c>
      <c r="K206" t="str">
        <f>IF(tb_zakazchik[[#This Row],[Столбец1]]&lt;&gt;"",tb_baza[[#This Row],[Гос. номер]],"")</f>
        <v/>
      </c>
    </row>
    <row r="207" spans="1:11" x14ac:dyDescent="0.25">
      <c r="A207" s="17" t="s">
        <v>557</v>
      </c>
      <c r="B207" s="10" t="s">
        <v>71</v>
      </c>
      <c r="C207" s="13" t="s">
        <v>306</v>
      </c>
      <c r="D207" s="7" t="s">
        <v>1274</v>
      </c>
      <c r="E207" s="2" t="s">
        <v>1307</v>
      </c>
      <c r="F207" s="2" t="s">
        <v>3</v>
      </c>
      <c r="G207" s="31"/>
      <c r="I2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7" t="str">
        <f>IF(tb_zakazchik[[#This Row],[Столбец1]]&lt;&gt;"",SUM($I$2:I207),"")</f>
        <v/>
      </c>
      <c r="K207" t="str">
        <f>IF(tb_zakazchik[[#This Row],[Столбец1]]&lt;&gt;"",tb_baza[[#This Row],[Гос. номер]],"")</f>
        <v/>
      </c>
    </row>
    <row r="208" spans="1:11" x14ac:dyDescent="0.25">
      <c r="A208" s="17" t="s">
        <v>961</v>
      </c>
      <c r="B208" s="10" t="s">
        <v>243</v>
      </c>
      <c r="C208" s="13" t="s">
        <v>306</v>
      </c>
      <c r="D208" s="7" t="s">
        <v>1274</v>
      </c>
      <c r="E208" s="2" t="s">
        <v>1307</v>
      </c>
      <c r="F208" s="2" t="s">
        <v>13</v>
      </c>
      <c r="G208" s="31"/>
      <c r="I2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8" t="str">
        <f>IF(tb_zakazchik[[#This Row],[Столбец1]]&lt;&gt;"",SUM($I$2:I208),"")</f>
        <v/>
      </c>
      <c r="K208" t="str">
        <f>IF(tb_zakazchik[[#This Row],[Столбец1]]&lt;&gt;"",tb_baza[[#This Row],[Гос. номер]],"")</f>
        <v/>
      </c>
    </row>
    <row r="209" spans="1:11" x14ac:dyDescent="0.25">
      <c r="A209" s="17" t="s">
        <v>763</v>
      </c>
      <c r="B209" s="10" t="s">
        <v>243</v>
      </c>
      <c r="C209" s="13" t="s">
        <v>306</v>
      </c>
      <c r="D209" s="7" t="s">
        <v>1274</v>
      </c>
      <c r="E209" s="2" t="s">
        <v>1307</v>
      </c>
      <c r="F209" s="2" t="s">
        <v>13</v>
      </c>
      <c r="G209" s="31"/>
      <c r="I2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09" t="str">
        <f>IF(tb_zakazchik[[#This Row],[Столбец1]]&lt;&gt;"",SUM($I$2:I209),"")</f>
        <v/>
      </c>
      <c r="K209" t="str">
        <f>IF(tb_zakazchik[[#This Row],[Столбец1]]&lt;&gt;"",tb_baza[[#This Row],[Гос. номер]],"")</f>
        <v/>
      </c>
    </row>
    <row r="210" spans="1:11" x14ac:dyDescent="0.25">
      <c r="A210" s="17" t="s">
        <v>146</v>
      </c>
      <c r="B210" s="10" t="s">
        <v>123</v>
      </c>
      <c r="C210" s="13" t="s">
        <v>306</v>
      </c>
      <c r="D210" s="7" t="s">
        <v>1274</v>
      </c>
      <c r="E210" s="2" t="s">
        <v>1307</v>
      </c>
      <c r="F210" s="2" t="s">
        <v>3</v>
      </c>
      <c r="G210" s="31"/>
      <c r="I2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0" t="str">
        <f>IF(tb_zakazchik[[#This Row],[Столбец1]]&lt;&gt;"",SUM($I$2:I210),"")</f>
        <v/>
      </c>
      <c r="K210" t="str">
        <f>IF(tb_zakazchik[[#This Row],[Столбец1]]&lt;&gt;"",tb_baza[[#This Row],[Гос. номер]],"")</f>
        <v/>
      </c>
    </row>
    <row r="211" spans="1:11" x14ac:dyDescent="0.25">
      <c r="A211" s="17" t="s">
        <v>725</v>
      </c>
      <c r="B211" s="10" t="s">
        <v>724</v>
      </c>
      <c r="C211" s="13" t="s">
        <v>306</v>
      </c>
      <c r="D211" s="7" t="s">
        <v>1274</v>
      </c>
      <c r="E211" s="2" t="s">
        <v>1307</v>
      </c>
      <c r="F211" s="2" t="s">
        <v>13</v>
      </c>
      <c r="G211" s="31"/>
      <c r="I2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1" t="str">
        <f>IF(tb_zakazchik[[#This Row],[Столбец1]]&lt;&gt;"",SUM($I$2:I211),"")</f>
        <v/>
      </c>
      <c r="K211" t="str">
        <f>IF(tb_zakazchik[[#This Row],[Столбец1]]&lt;&gt;"",tb_baza[[#This Row],[Гос. номер]],"")</f>
        <v/>
      </c>
    </row>
    <row r="212" spans="1:11" x14ac:dyDescent="0.25">
      <c r="A212" s="17" t="s">
        <v>284</v>
      </c>
      <c r="B212" s="10" t="s">
        <v>71</v>
      </c>
      <c r="C212" s="13" t="s">
        <v>306</v>
      </c>
      <c r="D212" s="7" t="s">
        <v>1274</v>
      </c>
      <c r="E212" s="2" t="s">
        <v>1307</v>
      </c>
      <c r="F212" s="2" t="s">
        <v>13</v>
      </c>
      <c r="G212" s="31"/>
      <c r="I2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2" t="str">
        <f>IF(tb_zakazchik[[#This Row],[Столбец1]]&lt;&gt;"",SUM($I$2:I212),"")</f>
        <v/>
      </c>
      <c r="K212" t="str">
        <f>IF(tb_zakazchik[[#This Row],[Столбец1]]&lt;&gt;"",tb_baza[[#This Row],[Гос. номер]],"")</f>
        <v/>
      </c>
    </row>
    <row r="213" spans="1:11" x14ac:dyDescent="0.25">
      <c r="A213" s="17" t="s">
        <v>563</v>
      </c>
      <c r="B213" s="10" t="s">
        <v>71</v>
      </c>
      <c r="C213" s="13" t="s">
        <v>306</v>
      </c>
      <c r="D213" s="7" t="s">
        <v>1274</v>
      </c>
      <c r="E213" s="2" t="s">
        <v>1307</v>
      </c>
      <c r="F213" s="2" t="s">
        <v>6</v>
      </c>
      <c r="G213" s="31"/>
      <c r="I2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3" t="str">
        <f>IF(tb_zakazchik[[#This Row],[Столбец1]]&lt;&gt;"",SUM($I$2:I213),"")</f>
        <v/>
      </c>
      <c r="K213" t="str">
        <f>IF(tb_zakazchik[[#This Row],[Столбец1]]&lt;&gt;"",tb_baza[[#This Row],[Гос. номер]],"")</f>
        <v/>
      </c>
    </row>
    <row r="214" spans="1:11" x14ac:dyDescent="0.25">
      <c r="A214" s="17" t="s">
        <v>72</v>
      </c>
      <c r="B214" s="10" t="s">
        <v>71</v>
      </c>
      <c r="C214" s="13" t="s">
        <v>306</v>
      </c>
      <c r="D214" s="7" t="s">
        <v>1274</v>
      </c>
      <c r="E214" s="2" t="s">
        <v>1307</v>
      </c>
      <c r="F214" s="2" t="s">
        <v>13</v>
      </c>
      <c r="G214" s="31"/>
      <c r="I2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4" t="str">
        <f>IF(tb_zakazchik[[#This Row],[Столбец1]]&lt;&gt;"",SUM($I$2:I214),"")</f>
        <v/>
      </c>
      <c r="K214" t="str">
        <f>IF(tb_zakazchik[[#This Row],[Столбец1]]&lt;&gt;"",tb_baza[[#This Row],[Гос. номер]],"")</f>
        <v/>
      </c>
    </row>
    <row r="215" spans="1:11" x14ac:dyDescent="0.25">
      <c r="A215" s="17" t="s">
        <v>598</v>
      </c>
      <c r="B215" s="10" t="s">
        <v>71</v>
      </c>
      <c r="C215" s="13" t="s">
        <v>306</v>
      </c>
      <c r="D215" s="7" t="s">
        <v>1274</v>
      </c>
      <c r="E215" s="2" t="s">
        <v>1307</v>
      </c>
      <c r="F215" s="2" t="s">
        <v>13</v>
      </c>
      <c r="G215" s="31"/>
      <c r="I2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5" t="str">
        <f>IF(tb_zakazchik[[#This Row],[Столбец1]]&lt;&gt;"",SUM($I$2:I215),"")</f>
        <v/>
      </c>
      <c r="K215" t="str">
        <f>IF(tb_zakazchik[[#This Row],[Столбец1]]&lt;&gt;"",tb_baza[[#This Row],[Гос. номер]],"")</f>
        <v/>
      </c>
    </row>
    <row r="216" spans="1:11" x14ac:dyDescent="0.25">
      <c r="A216" s="17" t="s">
        <v>599</v>
      </c>
      <c r="B216" s="10" t="s">
        <v>71</v>
      </c>
      <c r="C216" s="13" t="s">
        <v>306</v>
      </c>
      <c r="D216" s="7" t="s">
        <v>1274</v>
      </c>
      <c r="E216" s="2" t="s">
        <v>1307</v>
      </c>
      <c r="F216" s="2" t="s">
        <v>13</v>
      </c>
      <c r="G216" s="31"/>
      <c r="I2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6" t="str">
        <f>IF(tb_zakazchik[[#This Row],[Столбец1]]&lt;&gt;"",SUM($I$2:I216),"")</f>
        <v/>
      </c>
      <c r="K216" t="str">
        <f>IF(tb_zakazchik[[#This Row],[Столбец1]]&lt;&gt;"",tb_baza[[#This Row],[Гос. номер]],"")</f>
        <v/>
      </c>
    </row>
    <row r="217" spans="1:11" x14ac:dyDescent="0.25">
      <c r="A217" s="17" t="s">
        <v>643</v>
      </c>
      <c r="B217" s="10" t="s">
        <v>71</v>
      </c>
      <c r="C217" s="13" t="s">
        <v>306</v>
      </c>
      <c r="D217" s="7" t="s">
        <v>1274</v>
      </c>
      <c r="E217" s="2" t="s">
        <v>1307</v>
      </c>
      <c r="F217" s="2" t="s">
        <v>13</v>
      </c>
      <c r="G217" s="31"/>
      <c r="I2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7" t="str">
        <f>IF(tb_zakazchik[[#This Row],[Столбец1]]&lt;&gt;"",SUM($I$2:I217),"")</f>
        <v/>
      </c>
      <c r="K217" t="str">
        <f>IF(tb_zakazchik[[#This Row],[Столбец1]]&lt;&gt;"",tb_baza[[#This Row],[Гос. номер]],"")</f>
        <v/>
      </c>
    </row>
    <row r="218" spans="1:11" x14ac:dyDescent="0.25">
      <c r="A218" s="17" t="s">
        <v>182</v>
      </c>
      <c r="B218" s="10" t="s">
        <v>71</v>
      </c>
      <c r="C218" s="13" t="s">
        <v>306</v>
      </c>
      <c r="D218" s="7" t="s">
        <v>1274</v>
      </c>
      <c r="E218" s="2" t="s">
        <v>1307</v>
      </c>
      <c r="F218" s="2" t="s">
        <v>13</v>
      </c>
      <c r="G218" s="31"/>
      <c r="I2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8" t="str">
        <f>IF(tb_zakazchik[[#This Row],[Столбец1]]&lt;&gt;"",SUM($I$2:I218),"")</f>
        <v/>
      </c>
      <c r="K218" t="str">
        <f>IF(tb_zakazchik[[#This Row],[Столбец1]]&lt;&gt;"",tb_baza[[#This Row],[Гос. номер]],"")</f>
        <v/>
      </c>
    </row>
    <row r="219" spans="1:11" x14ac:dyDescent="0.25">
      <c r="A219" s="17" t="s">
        <v>558</v>
      </c>
      <c r="B219" s="10" t="s">
        <v>71</v>
      </c>
      <c r="C219" s="13" t="s">
        <v>306</v>
      </c>
      <c r="D219" s="7" t="s">
        <v>1274</v>
      </c>
      <c r="E219" s="2" t="s">
        <v>1307</v>
      </c>
      <c r="F219" s="2" t="s">
        <v>13</v>
      </c>
      <c r="G219" s="31"/>
      <c r="I2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19" t="str">
        <f>IF(tb_zakazchik[[#This Row],[Столбец1]]&lt;&gt;"",SUM($I$2:I219),"")</f>
        <v/>
      </c>
      <c r="K219" t="str">
        <f>IF(tb_zakazchik[[#This Row],[Столбец1]]&lt;&gt;"",tb_baza[[#This Row],[Гос. номер]],"")</f>
        <v/>
      </c>
    </row>
    <row r="220" spans="1:11" x14ac:dyDescent="0.25">
      <c r="A220" s="17" t="s">
        <v>565</v>
      </c>
      <c r="B220" s="10" t="s">
        <v>71</v>
      </c>
      <c r="C220" s="13" t="s">
        <v>306</v>
      </c>
      <c r="D220" s="7" t="s">
        <v>1274</v>
      </c>
      <c r="E220" s="2" t="s">
        <v>1307</v>
      </c>
      <c r="F220" s="2" t="s">
        <v>13</v>
      </c>
      <c r="G220" s="31"/>
      <c r="I2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0" t="str">
        <f>IF(tb_zakazchik[[#This Row],[Столбец1]]&lt;&gt;"",SUM($I$2:I220),"")</f>
        <v/>
      </c>
      <c r="K220" t="str">
        <f>IF(tb_zakazchik[[#This Row],[Столбец1]]&lt;&gt;"",tb_baza[[#This Row],[Гос. номер]],"")</f>
        <v/>
      </c>
    </row>
    <row r="221" spans="1:11" x14ac:dyDescent="0.25">
      <c r="A221" s="17" t="s">
        <v>145</v>
      </c>
      <c r="B221" s="10" t="s">
        <v>71</v>
      </c>
      <c r="C221" s="13" t="s">
        <v>306</v>
      </c>
      <c r="D221" s="7" t="s">
        <v>1274</v>
      </c>
      <c r="E221" s="2" t="s">
        <v>1307</v>
      </c>
      <c r="F221" s="2" t="s">
        <v>13</v>
      </c>
      <c r="G221" s="31"/>
      <c r="I2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1" t="str">
        <f>IF(tb_zakazchik[[#This Row],[Столбец1]]&lt;&gt;"",SUM($I$2:I221),"")</f>
        <v/>
      </c>
      <c r="K221" t="str">
        <f>IF(tb_zakazchik[[#This Row],[Столбец1]]&lt;&gt;"",tb_baza[[#This Row],[Гос. номер]],"")</f>
        <v/>
      </c>
    </row>
    <row r="222" spans="1:11" x14ac:dyDescent="0.25">
      <c r="A222" s="17" t="s">
        <v>578</v>
      </c>
      <c r="B222" s="10" t="s">
        <v>71</v>
      </c>
      <c r="C222" s="13" t="s">
        <v>306</v>
      </c>
      <c r="D222" s="7" t="s">
        <v>1274</v>
      </c>
      <c r="E222" s="2" t="s">
        <v>1307</v>
      </c>
      <c r="F222" s="2" t="s">
        <v>13</v>
      </c>
      <c r="G222" s="31"/>
      <c r="I2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2" t="str">
        <f>IF(tb_zakazchik[[#This Row],[Столбец1]]&lt;&gt;"",SUM($I$2:I222),"")</f>
        <v/>
      </c>
      <c r="K222" t="str">
        <f>IF(tb_zakazchik[[#This Row],[Столбец1]]&lt;&gt;"",tb_baza[[#This Row],[Гос. номер]],"")</f>
        <v/>
      </c>
    </row>
    <row r="223" spans="1:11" x14ac:dyDescent="0.25">
      <c r="A223" s="17" t="s">
        <v>189</v>
      </c>
      <c r="B223" s="10" t="s">
        <v>71</v>
      </c>
      <c r="C223" s="13" t="s">
        <v>306</v>
      </c>
      <c r="D223" s="7" t="s">
        <v>1274</v>
      </c>
      <c r="E223" s="2" t="s">
        <v>1307</v>
      </c>
      <c r="F223" s="2" t="s">
        <v>13</v>
      </c>
      <c r="G223" s="31"/>
      <c r="I2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3" t="str">
        <f>IF(tb_zakazchik[[#This Row],[Столбец1]]&lt;&gt;"",SUM($I$2:I223),"")</f>
        <v/>
      </c>
      <c r="K223" t="str">
        <f>IF(tb_zakazchik[[#This Row],[Столбец1]]&lt;&gt;"",tb_baza[[#This Row],[Гос. номер]],"")</f>
        <v/>
      </c>
    </row>
    <row r="224" spans="1:11" x14ac:dyDescent="0.25">
      <c r="A224" s="17" t="s">
        <v>260</v>
      </c>
      <c r="B224" s="10" t="s">
        <v>71</v>
      </c>
      <c r="C224" s="13" t="s">
        <v>306</v>
      </c>
      <c r="D224" s="7" t="s">
        <v>1274</v>
      </c>
      <c r="E224" s="2" t="s">
        <v>1307</v>
      </c>
      <c r="F224" s="2" t="s">
        <v>6</v>
      </c>
      <c r="G224" s="31"/>
      <c r="I2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4" t="str">
        <f>IF(tb_zakazchik[[#This Row],[Столбец1]]&lt;&gt;"",SUM($I$2:I224),"")</f>
        <v/>
      </c>
      <c r="K224" t="str">
        <f>IF(tb_zakazchik[[#This Row],[Столбец1]]&lt;&gt;"",tb_baza[[#This Row],[Гос. номер]],"")</f>
        <v/>
      </c>
    </row>
    <row r="225" spans="1:11" x14ac:dyDescent="0.25">
      <c r="A225" s="17" t="s">
        <v>726</v>
      </c>
      <c r="B225" s="10" t="s">
        <v>724</v>
      </c>
      <c r="C225" s="13" t="s">
        <v>306</v>
      </c>
      <c r="D225" s="7" t="s">
        <v>1274</v>
      </c>
      <c r="E225" s="2" t="s">
        <v>1307</v>
      </c>
      <c r="F225" s="2" t="s">
        <v>6</v>
      </c>
      <c r="G225" s="31"/>
      <c r="I2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5" t="str">
        <f>IF(tb_zakazchik[[#This Row],[Столбец1]]&lt;&gt;"",SUM($I$2:I225),"")</f>
        <v/>
      </c>
      <c r="K225" t="str">
        <f>IF(tb_zakazchik[[#This Row],[Столбец1]]&lt;&gt;"",tb_baza[[#This Row],[Гос. номер]],"")</f>
        <v/>
      </c>
    </row>
    <row r="226" spans="1:11" x14ac:dyDescent="0.25">
      <c r="A226" s="17" t="s">
        <v>245</v>
      </c>
      <c r="B226" s="10" t="s">
        <v>71</v>
      </c>
      <c r="C226" s="13" t="s">
        <v>306</v>
      </c>
      <c r="D226" s="7" t="s">
        <v>1274</v>
      </c>
      <c r="E226" s="2" t="s">
        <v>1307</v>
      </c>
      <c r="F226" s="2" t="s">
        <v>6</v>
      </c>
      <c r="G226" s="31"/>
      <c r="I2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6" t="str">
        <f>IF(tb_zakazchik[[#This Row],[Столбец1]]&lt;&gt;"",SUM($I$2:I226),"")</f>
        <v/>
      </c>
      <c r="K226" t="str">
        <f>IF(tb_zakazchik[[#This Row],[Столбец1]]&lt;&gt;"",tb_baza[[#This Row],[Гос. номер]],"")</f>
        <v/>
      </c>
    </row>
    <row r="227" spans="1:11" x14ac:dyDescent="0.25">
      <c r="A227" s="17" t="s">
        <v>691</v>
      </c>
      <c r="B227" s="10" t="s">
        <v>243</v>
      </c>
      <c r="C227" s="13" t="s">
        <v>306</v>
      </c>
      <c r="D227" s="7" t="s">
        <v>1274</v>
      </c>
      <c r="E227" s="2" t="s">
        <v>1307</v>
      </c>
      <c r="F227" s="2" t="s">
        <v>6</v>
      </c>
      <c r="G227" s="31"/>
      <c r="I2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7" t="str">
        <f>IF(tb_zakazchik[[#This Row],[Столбец1]]&lt;&gt;"",SUM($I$2:I227),"")</f>
        <v/>
      </c>
      <c r="K227" t="str">
        <f>IF(tb_zakazchik[[#This Row],[Столбец1]]&lt;&gt;"",tb_baza[[#This Row],[Гос. номер]],"")</f>
        <v/>
      </c>
    </row>
    <row r="228" spans="1:11" x14ac:dyDescent="0.25">
      <c r="A228" s="17" t="s">
        <v>169</v>
      </c>
      <c r="B228" s="10" t="s">
        <v>51</v>
      </c>
      <c r="C228" s="13" t="s">
        <v>306</v>
      </c>
      <c r="D228" s="7" t="s">
        <v>1274</v>
      </c>
      <c r="E228" s="2" t="s">
        <v>1307</v>
      </c>
      <c r="F228" s="2" t="s">
        <v>3</v>
      </c>
      <c r="G228" s="31"/>
      <c r="I2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8" t="str">
        <f>IF(tb_zakazchik[[#This Row],[Столбец1]]&lt;&gt;"",SUM($I$2:I228),"")</f>
        <v/>
      </c>
      <c r="K228" t="str">
        <f>IF(tb_zakazchik[[#This Row],[Столбец1]]&lt;&gt;"",tb_baza[[#This Row],[Гос. номер]],"")</f>
        <v/>
      </c>
    </row>
    <row r="229" spans="1:11" x14ac:dyDescent="0.25">
      <c r="A229" s="17" t="s">
        <v>168</v>
      </c>
      <c r="B229" s="10" t="s">
        <v>51</v>
      </c>
      <c r="C229" s="13" t="s">
        <v>306</v>
      </c>
      <c r="D229" s="7" t="s">
        <v>1274</v>
      </c>
      <c r="E229" s="2" t="s">
        <v>1307</v>
      </c>
      <c r="F229" s="2" t="s">
        <v>3</v>
      </c>
      <c r="G229" s="31"/>
      <c r="I2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29" t="str">
        <f>IF(tb_zakazchik[[#This Row],[Столбец1]]&lt;&gt;"",SUM($I$2:I229),"")</f>
        <v/>
      </c>
      <c r="K229" t="str">
        <f>IF(tb_zakazchik[[#This Row],[Столбец1]]&lt;&gt;"",tb_baza[[#This Row],[Гос. номер]],"")</f>
        <v/>
      </c>
    </row>
    <row r="230" spans="1:11" x14ac:dyDescent="0.25">
      <c r="A230" s="17" t="s">
        <v>999</v>
      </c>
      <c r="B230" s="10" t="s">
        <v>172</v>
      </c>
      <c r="C230" s="13" t="s">
        <v>306</v>
      </c>
      <c r="D230" s="7" t="s">
        <v>1274</v>
      </c>
      <c r="E230" s="2" t="s">
        <v>1307</v>
      </c>
      <c r="F230" s="2" t="s">
        <v>13</v>
      </c>
      <c r="G230" s="31"/>
      <c r="I2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0" t="str">
        <f>IF(tb_zakazchik[[#This Row],[Столбец1]]&lt;&gt;"",SUM($I$2:I230),"")</f>
        <v/>
      </c>
      <c r="K230" t="str">
        <f>IF(tb_zakazchik[[#This Row],[Столбец1]]&lt;&gt;"",tb_baza[[#This Row],[Гос. номер]],"")</f>
        <v/>
      </c>
    </row>
    <row r="231" spans="1:11" x14ac:dyDescent="0.25">
      <c r="A231" s="17" t="s">
        <v>998</v>
      </c>
      <c r="B231" s="10" t="s">
        <v>172</v>
      </c>
      <c r="C231" s="13" t="s">
        <v>306</v>
      </c>
      <c r="D231" s="7" t="s">
        <v>1274</v>
      </c>
      <c r="E231" s="2" t="s">
        <v>1307</v>
      </c>
      <c r="F231" s="2" t="s">
        <v>3</v>
      </c>
      <c r="G231" s="31"/>
      <c r="I2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1" t="str">
        <f>IF(tb_zakazchik[[#This Row],[Столбец1]]&lt;&gt;"",SUM($I$2:I231),"")</f>
        <v/>
      </c>
      <c r="K231" t="str">
        <f>IF(tb_zakazchik[[#This Row],[Столбец1]]&lt;&gt;"",tb_baza[[#This Row],[Гос. номер]],"")</f>
        <v/>
      </c>
    </row>
    <row r="232" spans="1:11" x14ac:dyDescent="0.25">
      <c r="A232" s="17" t="s">
        <v>885</v>
      </c>
      <c r="B232" s="10" t="s">
        <v>51</v>
      </c>
      <c r="C232" s="13" t="s">
        <v>306</v>
      </c>
      <c r="D232" s="7" t="s">
        <v>1274</v>
      </c>
      <c r="E232" s="2" t="s">
        <v>1307</v>
      </c>
      <c r="F232" s="2" t="s">
        <v>3</v>
      </c>
      <c r="G232" s="31"/>
      <c r="I2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2" t="str">
        <f>IF(tb_zakazchik[[#This Row],[Столбец1]]&lt;&gt;"",SUM($I$2:I232),"")</f>
        <v/>
      </c>
      <c r="K232" t="str">
        <f>IF(tb_zakazchik[[#This Row],[Столбец1]]&lt;&gt;"",tb_baza[[#This Row],[Гос. номер]],"")</f>
        <v/>
      </c>
    </row>
    <row r="233" spans="1:11" x14ac:dyDescent="0.25">
      <c r="A233" s="17" t="s">
        <v>219</v>
      </c>
      <c r="B233" s="10" t="s">
        <v>51</v>
      </c>
      <c r="C233" s="13" t="s">
        <v>306</v>
      </c>
      <c r="D233" s="7" t="s">
        <v>1274</v>
      </c>
      <c r="E233" s="2" t="s">
        <v>1307</v>
      </c>
      <c r="F233" s="2" t="s">
        <v>3</v>
      </c>
      <c r="G233" s="31"/>
      <c r="I2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3" t="str">
        <f>IF(tb_zakazchik[[#This Row],[Столбец1]]&lt;&gt;"",SUM($I$2:I233),"")</f>
        <v/>
      </c>
      <c r="K233" t="str">
        <f>IF(tb_zakazchik[[#This Row],[Столбец1]]&lt;&gt;"",tb_baza[[#This Row],[Гос. номер]],"")</f>
        <v/>
      </c>
    </row>
    <row r="234" spans="1:11" x14ac:dyDescent="0.25">
      <c r="A234" s="17" t="s">
        <v>749</v>
      </c>
      <c r="B234" s="10" t="s">
        <v>51</v>
      </c>
      <c r="C234" s="13" t="s">
        <v>306</v>
      </c>
      <c r="D234" s="7" t="s">
        <v>1274</v>
      </c>
      <c r="E234" s="2" t="s">
        <v>1307</v>
      </c>
      <c r="F234" s="2" t="s">
        <v>3</v>
      </c>
      <c r="G234" s="31"/>
      <c r="I2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4" t="str">
        <f>IF(tb_zakazchik[[#This Row],[Столбец1]]&lt;&gt;"",SUM($I$2:I234),"")</f>
        <v/>
      </c>
      <c r="K234" t="str">
        <f>IF(tb_zakazchik[[#This Row],[Столбец1]]&lt;&gt;"",tb_baza[[#This Row],[Гос. номер]],"")</f>
        <v/>
      </c>
    </row>
    <row r="235" spans="1:11" x14ac:dyDescent="0.25">
      <c r="A235" s="17" t="s">
        <v>940</v>
      </c>
      <c r="B235" s="10" t="s">
        <v>51</v>
      </c>
      <c r="C235" s="13" t="s">
        <v>306</v>
      </c>
      <c r="D235" s="7" t="s">
        <v>1274</v>
      </c>
      <c r="E235" s="2" t="s">
        <v>2</v>
      </c>
      <c r="F235" s="2" t="s">
        <v>3</v>
      </c>
      <c r="G235" s="31"/>
      <c r="I2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5" t="str">
        <f>IF(tb_zakazchik[[#This Row],[Столбец1]]&lt;&gt;"",SUM($I$2:I235),"")</f>
        <v/>
      </c>
      <c r="K235" t="str">
        <f>IF(tb_zakazchik[[#This Row],[Столбец1]]&lt;&gt;"",tb_baza[[#This Row],[Гос. номер]],"")</f>
        <v/>
      </c>
    </row>
    <row r="236" spans="1:11" x14ac:dyDescent="0.25">
      <c r="A236" s="17" t="s">
        <v>692</v>
      </c>
      <c r="B236" s="10" t="s">
        <v>243</v>
      </c>
      <c r="C236" s="13" t="s">
        <v>306</v>
      </c>
      <c r="D236" s="7" t="s">
        <v>1274</v>
      </c>
      <c r="E236" s="2" t="s">
        <v>12</v>
      </c>
      <c r="F236" s="2" t="s">
        <v>6</v>
      </c>
      <c r="G236" s="31"/>
      <c r="I2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6" t="str">
        <f>IF(tb_zakazchik[[#This Row],[Столбец1]]&lt;&gt;"",SUM($I$2:I236),"")</f>
        <v/>
      </c>
      <c r="K236" t="str">
        <f>IF(tb_zakazchik[[#This Row],[Столбец1]]&lt;&gt;"",tb_baza[[#This Row],[Гос. номер]],"")</f>
        <v/>
      </c>
    </row>
    <row r="237" spans="1:11" x14ac:dyDescent="0.25">
      <c r="A237" s="17" t="s">
        <v>122</v>
      </c>
      <c r="B237" s="10" t="s">
        <v>121</v>
      </c>
      <c r="C237" s="13" t="s">
        <v>306</v>
      </c>
      <c r="D237" s="7" t="s">
        <v>1274</v>
      </c>
      <c r="E237" s="2" t="s">
        <v>12</v>
      </c>
      <c r="F237" s="2" t="s">
        <v>13</v>
      </c>
      <c r="G237" s="31"/>
      <c r="I2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7" t="str">
        <f>IF(tb_zakazchik[[#This Row],[Столбец1]]&lt;&gt;"",SUM($I$2:I237),"")</f>
        <v/>
      </c>
      <c r="K237" t="str">
        <f>IF(tb_zakazchik[[#This Row],[Столбец1]]&lt;&gt;"",tb_baza[[#This Row],[Гос. номер]],"")</f>
        <v/>
      </c>
    </row>
    <row r="238" spans="1:11" x14ac:dyDescent="0.25">
      <c r="A238" s="17" t="s">
        <v>257</v>
      </c>
      <c r="B238" s="10" t="s">
        <v>121</v>
      </c>
      <c r="C238" s="13" t="s">
        <v>306</v>
      </c>
      <c r="D238" s="7" t="s">
        <v>1274</v>
      </c>
      <c r="E238" s="2" t="s">
        <v>12</v>
      </c>
      <c r="F238" s="2" t="s">
        <v>13</v>
      </c>
      <c r="G238" s="31"/>
      <c r="I2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8" t="str">
        <f>IF(tb_zakazchik[[#This Row],[Столбец1]]&lt;&gt;"",SUM($I$2:I238),"")</f>
        <v/>
      </c>
      <c r="K238" t="str">
        <f>IF(tb_zakazchik[[#This Row],[Столбец1]]&lt;&gt;"",tb_baza[[#This Row],[Гос. номер]],"")</f>
        <v/>
      </c>
    </row>
    <row r="239" spans="1:11" x14ac:dyDescent="0.25">
      <c r="A239" s="17" t="s">
        <v>894</v>
      </c>
      <c r="B239" s="10" t="s">
        <v>121</v>
      </c>
      <c r="C239" s="13" t="s">
        <v>306</v>
      </c>
      <c r="D239" s="7" t="s">
        <v>1274</v>
      </c>
      <c r="E239" s="2" t="s">
        <v>12</v>
      </c>
      <c r="F239" s="2" t="s">
        <v>13</v>
      </c>
      <c r="G239" s="31"/>
      <c r="I2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39" t="str">
        <f>IF(tb_zakazchik[[#This Row],[Столбец1]]&lt;&gt;"",SUM($I$2:I239),"")</f>
        <v/>
      </c>
      <c r="K239" t="str">
        <f>IF(tb_zakazchik[[#This Row],[Столбец1]]&lt;&gt;"",tb_baza[[#This Row],[Гос. номер]],"")</f>
        <v/>
      </c>
    </row>
    <row r="240" spans="1:11" x14ac:dyDescent="0.25">
      <c r="A240" s="17" t="s">
        <v>852</v>
      </c>
      <c r="B240" s="10" t="s">
        <v>121</v>
      </c>
      <c r="C240" s="13" t="s">
        <v>306</v>
      </c>
      <c r="D240" s="7" t="s">
        <v>1274</v>
      </c>
      <c r="E240" s="2" t="s">
        <v>12</v>
      </c>
      <c r="F240" s="2" t="s">
        <v>13</v>
      </c>
      <c r="G240" s="31"/>
      <c r="I2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0" t="str">
        <f>IF(tb_zakazchik[[#This Row],[Столбец1]]&lt;&gt;"",SUM($I$2:I240),"")</f>
        <v/>
      </c>
      <c r="K240" t="str">
        <f>IF(tb_zakazchik[[#This Row],[Столбец1]]&lt;&gt;"",tb_baza[[#This Row],[Гос. номер]],"")</f>
        <v/>
      </c>
    </row>
    <row r="241" spans="1:11" x14ac:dyDescent="0.25">
      <c r="A241" s="17" t="s">
        <v>900</v>
      </c>
      <c r="B241" s="10" t="s">
        <v>121</v>
      </c>
      <c r="C241" s="13" t="s">
        <v>306</v>
      </c>
      <c r="D241" s="7" t="s">
        <v>1274</v>
      </c>
      <c r="E241" s="2" t="s">
        <v>12</v>
      </c>
      <c r="F241" s="2" t="s">
        <v>13</v>
      </c>
      <c r="G241" s="31"/>
      <c r="I2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1" t="str">
        <f>IF(tb_zakazchik[[#This Row],[Столбец1]]&lt;&gt;"",SUM($I$2:I241),"")</f>
        <v/>
      </c>
      <c r="K241" t="str">
        <f>IF(tb_zakazchik[[#This Row],[Столбец1]]&lt;&gt;"",tb_baza[[#This Row],[Гос. номер]],"")</f>
        <v/>
      </c>
    </row>
    <row r="242" spans="1:11" x14ac:dyDescent="0.25">
      <c r="A242" s="17" t="s">
        <v>832</v>
      </c>
      <c r="B242" s="10" t="s">
        <v>121</v>
      </c>
      <c r="C242" s="13" t="s">
        <v>306</v>
      </c>
      <c r="D242" s="7" t="s">
        <v>1274</v>
      </c>
      <c r="E242" s="2" t="s">
        <v>12</v>
      </c>
      <c r="F242" s="2" t="s">
        <v>13</v>
      </c>
      <c r="G242" s="31"/>
      <c r="I2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2" t="str">
        <f>IF(tb_zakazchik[[#This Row],[Столбец1]]&lt;&gt;"",SUM($I$2:I242),"")</f>
        <v/>
      </c>
      <c r="K242" t="str">
        <f>IF(tb_zakazchik[[#This Row],[Столбец1]]&lt;&gt;"",tb_baza[[#This Row],[Гос. номер]],"")</f>
        <v/>
      </c>
    </row>
    <row r="243" spans="1:11" x14ac:dyDescent="0.25">
      <c r="A243" s="17" t="s">
        <v>807</v>
      </c>
      <c r="B243" s="10" t="s">
        <v>121</v>
      </c>
      <c r="C243" s="13" t="s">
        <v>306</v>
      </c>
      <c r="D243" s="7" t="s">
        <v>1274</v>
      </c>
      <c r="E243" s="2" t="s">
        <v>12</v>
      </c>
      <c r="F243" s="2" t="s">
        <v>13</v>
      </c>
      <c r="G243" s="31"/>
      <c r="I2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3" t="str">
        <f>IF(tb_zakazchik[[#This Row],[Столбец1]]&lt;&gt;"",SUM($I$2:I243),"")</f>
        <v/>
      </c>
      <c r="K243" t="str">
        <f>IF(tb_zakazchik[[#This Row],[Столбец1]]&lt;&gt;"",tb_baza[[#This Row],[Гос. номер]],"")</f>
        <v/>
      </c>
    </row>
    <row r="244" spans="1:11" x14ac:dyDescent="0.25">
      <c r="A244" s="17" t="s">
        <v>273</v>
      </c>
      <c r="B244" s="10" t="s">
        <v>121</v>
      </c>
      <c r="C244" s="13" t="s">
        <v>306</v>
      </c>
      <c r="D244" s="7" t="s">
        <v>1274</v>
      </c>
      <c r="E244" s="2" t="s">
        <v>12</v>
      </c>
      <c r="F244" s="2" t="s">
        <v>13</v>
      </c>
      <c r="G244" s="31"/>
      <c r="I2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4" t="str">
        <f>IF(tb_zakazchik[[#This Row],[Столбец1]]&lt;&gt;"",SUM($I$2:I244),"")</f>
        <v/>
      </c>
      <c r="K244" t="str">
        <f>IF(tb_zakazchik[[#This Row],[Столбец1]]&lt;&gt;"",tb_baza[[#This Row],[Гос. номер]],"")</f>
        <v/>
      </c>
    </row>
    <row r="245" spans="1:11" x14ac:dyDescent="0.25">
      <c r="A245" s="17" t="s">
        <v>199</v>
      </c>
      <c r="B245" s="10" t="s">
        <v>121</v>
      </c>
      <c r="C245" s="13" t="s">
        <v>306</v>
      </c>
      <c r="D245" s="7" t="s">
        <v>1274</v>
      </c>
      <c r="E245" s="2" t="s">
        <v>12</v>
      </c>
      <c r="F245" s="2" t="s">
        <v>13</v>
      </c>
      <c r="G245" s="31"/>
      <c r="I2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5" t="str">
        <f>IF(tb_zakazchik[[#This Row],[Столбец1]]&lt;&gt;"",SUM($I$2:I245),"")</f>
        <v/>
      </c>
      <c r="K245" t="str">
        <f>IF(tb_zakazchik[[#This Row],[Столбец1]]&lt;&gt;"",tb_baza[[#This Row],[Гос. номер]],"")</f>
        <v/>
      </c>
    </row>
    <row r="246" spans="1:11" x14ac:dyDescent="0.25">
      <c r="A246" s="17" t="s">
        <v>806</v>
      </c>
      <c r="B246" s="10" t="s">
        <v>121</v>
      </c>
      <c r="C246" s="13" t="s">
        <v>306</v>
      </c>
      <c r="D246" s="7" t="s">
        <v>1274</v>
      </c>
      <c r="E246" s="2" t="s">
        <v>12</v>
      </c>
      <c r="F246" s="2" t="s">
        <v>13</v>
      </c>
      <c r="G246" s="31"/>
      <c r="I2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6" t="str">
        <f>IF(tb_zakazchik[[#This Row],[Столбец1]]&lt;&gt;"",SUM($I$2:I246),"")</f>
        <v/>
      </c>
      <c r="K246" t="str">
        <f>IF(tb_zakazchik[[#This Row],[Столбец1]]&lt;&gt;"",tb_baza[[#This Row],[Гос. номер]],"")</f>
        <v/>
      </c>
    </row>
    <row r="247" spans="1:11" x14ac:dyDescent="0.25">
      <c r="A247" s="17" t="s">
        <v>790</v>
      </c>
      <c r="B247" s="10" t="s">
        <v>121</v>
      </c>
      <c r="C247" s="13" t="s">
        <v>306</v>
      </c>
      <c r="D247" s="7" t="s">
        <v>1274</v>
      </c>
      <c r="E247" s="2" t="s">
        <v>12</v>
      </c>
      <c r="F247" s="2" t="s">
        <v>13</v>
      </c>
      <c r="G247" s="31"/>
      <c r="I2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7" t="str">
        <f>IF(tb_zakazchik[[#This Row],[Столбец1]]&lt;&gt;"",SUM($I$2:I247),"")</f>
        <v/>
      </c>
      <c r="K247" t="str">
        <f>IF(tb_zakazchik[[#This Row],[Столбец1]]&lt;&gt;"",tb_baza[[#This Row],[Гос. номер]],"")</f>
        <v/>
      </c>
    </row>
    <row r="248" spans="1:11" x14ac:dyDescent="0.25">
      <c r="A248" s="17" t="s">
        <v>866</v>
      </c>
      <c r="B248" s="10" t="s">
        <v>121</v>
      </c>
      <c r="C248" s="13" t="s">
        <v>306</v>
      </c>
      <c r="D248" s="7" t="s">
        <v>1274</v>
      </c>
      <c r="E248" s="2" t="s">
        <v>12</v>
      </c>
      <c r="F248" s="2" t="s">
        <v>13</v>
      </c>
      <c r="G248" s="31"/>
      <c r="I2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8" t="str">
        <f>IF(tb_zakazchik[[#This Row],[Столбец1]]&lt;&gt;"",SUM($I$2:I248),"")</f>
        <v/>
      </c>
      <c r="K248" t="str">
        <f>IF(tb_zakazchik[[#This Row],[Столбец1]]&lt;&gt;"",tb_baza[[#This Row],[Гос. номер]],"")</f>
        <v/>
      </c>
    </row>
    <row r="249" spans="1:11" x14ac:dyDescent="0.25">
      <c r="A249" s="17" t="s">
        <v>868</v>
      </c>
      <c r="B249" s="10" t="s">
        <v>121</v>
      </c>
      <c r="C249" s="13" t="s">
        <v>306</v>
      </c>
      <c r="D249" s="7" t="s">
        <v>1274</v>
      </c>
      <c r="E249" s="2" t="s">
        <v>12</v>
      </c>
      <c r="F249" s="2" t="s">
        <v>13</v>
      </c>
      <c r="G249" s="31"/>
      <c r="I2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49" t="str">
        <f>IF(tb_zakazchik[[#This Row],[Столбец1]]&lt;&gt;"",SUM($I$2:I249),"")</f>
        <v/>
      </c>
      <c r="K249" t="str">
        <f>IF(tb_zakazchik[[#This Row],[Столбец1]]&lt;&gt;"",tb_baza[[#This Row],[Гос. номер]],"")</f>
        <v/>
      </c>
    </row>
    <row r="250" spans="1:11" x14ac:dyDescent="0.25">
      <c r="A250" s="17" t="s">
        <v>864</v>
      </c>
      <c r="B250" s="10" t="s">
        <v>121</v>
      </c>
      <c r="C250" s="13" t="s">
        <v>306</v>
      </c>
      <c r="D250" s="7" t="s">
        <v>1274</v>
      </c>
      <c r="E250" s="2" t="s">
        <v>12</v>
      </c>
      <c r="F250" s="2" t="s">
        <v>13</v>
      </c>
      <c r="G250" s="31"/>
      <c r="I2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0" t="str">
        <f>IF(tb_zakazchik[[#This Row],[Столбец1]]&lt;&gt;"",SUM($I$2:I250),"")</f>
        <v/>
      </c>
      <c r="K250" t="str">
        <f>IF(tb_zakazchik[[#This Row],[Столбец1]]&lt;&gt;"",tb_baza[[#This Row],[Гос. номер]],"")</f>
        <v/>
      </c>
    </row>
    <row r="251" spans="1:11" x14ac:dyDescent="0.25">
      <c r="A251" s="17" t="s">
        <v>867</v>
      </c>
      <c r="B251" s="10" t="s">
        <v>121</v>
      </c>
      <c r="C251" s="13" t="s">
        <v>306</v>
      </c>
      <c r="D251" s="7" t="s">
        <v>1274</v>
      </c>
      <c r="E251" s="2" t="s">
        <v>12</v>
      </c>
      <c r="F251" s="2" t="s">
        <v>13</v>
      </c>
      <c r="G251" s="31"/>
      <c r="I2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1" t="str">
        <f>IF(tb_zakazchik[[#This Row],[Столбец1]]&lt;&gt;"",SUM($I$2:I251),"")</f>
        <v/>
      </c>
      <c r="K251" t="str">
        <f>IF(tb_zakazchik[[#This Row],[Столбец1]]&lt;&gt;"",tb_baza[[#This Row],[Гос. номер]],"")</f>
        <v/>
      </c>
    </row>
    <row r="252" spans="1:11" x14ac:dyDescent="0.25">
      <c r="A252" s="17" t="s">
        <v>833</v>
      </c>
      <c r="B252" s="10" t="s">
        <v>121</v>
      </c>
      <c r="C252" s="13" t="s">
        <v>306</v>
      </c>
      <c r="D252" s="7" t="s">
        <v>1274</v>
      </c>
      <c r="E252" s="2" t="s">
        <v>12</v>
      </c>
      <c r="F252" s="2" t="s">
        <v>13</v>
      </c>
      <c r="G252" s="31"/>
      <c r="I2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2" t="str">
        <f>IF(tb_zakazchik[[#This Row],[Столбец1]]&lt;&gt;"",SUM($I$2:I252),"")</f>
        <v/>
      </c>
      <c r="K252" t="str">
        <f>IF(tb_zakazchik[[#This Row],[Столбец1]]&lt;&gt;"",tb_baza[[#This Row],[Гос. номер]],"")</f>
        <v/>
      </c>
    </row>
    <row r="253" spans="1:11" x14ac:dyDescent="0.25">
      <c r="A253" s="17" t="s">
        <v>865</v>
      </c>
      <c r="B253" s="10" t="s">
        <v>121</v>
      </c>
      <c r="C253" s="13" t="s">
        <v>306</v>
      </c>
      <c r="D253" s="7" t="s">
        <v>1274</v>
      </c>
      <c r="E253" s="2" t="s">
        <v>12</v>
      </c>
      <c r="F253" s="2" t="s">
        <v>13</v>
      </c>
      <c r="G253" s="31"/>
      <c r="I2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3" t="str">
        <f>IF(tb_zakazchik[[#This Row],[Столбец1]]&lt;&gt;"",SUM($I$2:I253),"")</f>
        <v/>
      </c>
      <c r="K253" t="str">
        <f>IF(tb_zakazchik[[#This Row],[Столбец1]]&lt;&gt;"",tb_baza[[#This Row],[Гос. номер]],"")</f>
        <v/>
      </c>
    </row>
    <row r="254" spans="1:11" x14ac:dyDescent="0.25">
      <c r="A254" s="17" t="s">
        <v>886</v>
      </c>
      <c r="B254" s="10" t="s">
        <v>121</v>
      </c>
      <c r="C254" s="13" t="s">
        <v>306</v>
      </c>
      <c r="D254" s="7" t="s">
        <v>1274</v>
      </c>
      <c r="E254" s="2" t="s">
        <v>12</v>
      </c>
      <c r="F254" s="2" t="s">
        <v>13</v>
      </c>
      <c r="G254" s="31"/>
      <c r="I2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4" t="str">
        <f>IF(tb_zakazchik[[#This Row],[Столбец1]]&lt;&gt;"",SUM($I$2:I254),"")</f>
        <v/>
      </c>
      <c r="K254" t="str">
        <f>IF(tb_zakazchik[[#This Row],[Столбец1]]&lt;&gt;"",tb_baza[[#This Row],[Гос. номер]],"")</f>
        <v/>
      </c>
    </row>
    <row r="255" spans="1:11" x14ac:dyDescent="0.25">
      <c r="A255" s="17" t="s">
        <v>923</v>
      </c>
      <c r="B255" s="10" t="s">
        <v>121</v>
      </c>
      <c r="C255" s="13" t="s">
        <v>306</v>
      </c>
      <c r="D255" s="7" t="s">
        <v>1274</v>
      </c>
      <c r="E255" s="2" t="s">
        <v>12</v>
      </c>
      <c r="F255" s="2" t="s">
        <v>13</v>
      </c>
      <c r="G255" s="31"/>
      <c r="I2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5" t="str">
        <f>IF(tb_zakazchik[[#This Row],[Столбец1]]&lt;&gt;"",SUM($I$2:I255),"")</f>
        <v/>
      </c>
      <c r="K255" t="str">
        <f>IF(tb_zakazchik[[#This Row],[Столбец1]]&lt;&gt;"",tb_baza[[#This Row],[Гос. номер]],"")</f>
        <v/>
      </c>
    </row>
    <row r="256" spans="1:11" x14ac:dyDescent="0.25">
      <c r="A256" s="17" t="s">
        <v>1160</v>
      </c>
      <c r="B256" s="10" t="s">
        <v>79</v>
      </c>
      <c r="C256" s="13" t="s">
        <v>306</v>
      </c>
      <c r="D256" s="7" t="s">
        <v>1269</v>
      </c>
      <c r="E256" s="2" t="s">
        <v>1307</v>
      </c>
      <c r="F256" s="2" t="s">
        <v>3</v>
      </c>
      <c r="G256" s="31"/>
      <c r="I2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6" t="str">
        <f>IF(tb_zakazchik[[#This Row],[Столбец1]]&lt;&gt;"",SUM($I$2:I256),"")</f>
        <v/>
      </c>
      <c r="K256" t="str">
        <f>IF(tb_zakazchik[[#This Row],[Столбец1]]&lt;&gt;"",tb_baza[[#This Row],[Гос. номер]],"")</f>
        <v/>
      </c>
    </row>
    <row r="257" spans="1:11" x14ac:dyDescent="0.25">
      <c r="A257" s="17" t="s">
        <v>511</v>
      </c>
      <c r="B257" s="10" t="s">
        <v>45</v>
      </c>
      <c r="C257" s="13" t="s">
        <v>306</v>
      </c>
      <c r="D257" s="7" t="s">
        <v>1269</v>
      </c>
      <c r="E257" s="2" t="s">
        <v>1307</v>
      </c>
      <c r="F257" s="2" t="s">
        <v>3</v>
      </c>
      <c r="G257" s="31"/>
      <c r="I2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7" t="str">
        <f>IF(tb_zakazchik[[#This Row],[Столбец1]]&lt;&gt;"",SUM($I$2:I257),"")</f>
        <v/>
      </c>
      <c r="K257" t="str">
        <f>IF(tb_zakazchik[[#This Row],[Столбец1]]&lt;&gt;"",tb_baza[[#This Row],[Гос. номер]],"")</f>
        <v/>
      </c>
    </row>
    <row r="258" spans="1:11" x14ac:dyDescent="0.25">
      <c r="A258" s="17" t="s">
        <v>160</v>
      </c>
      <c r="B258" s="10" t="s">
        <v>45</v>
      </c>
      <c r="C258" s="13" t="s">
        <v>306</v>
      </c>
      <c r="D258" s="7" t="s">
        <v>1269</v>
      </c>
      <c r="E258" s="2" t="s">
        <v>1307</v>
      </c>
      <c r="F258" s="2" t="s">
        <v>3</v>
      </c>
      <c r="G258" s="31"/>
      <c r="I2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8" t="str">
        <f>IF(tb_zakazchik[[#This Row],[Столбец1]]&lt;&gt;"",SUM($I$2:I258),"")</f>
        <v/>
      </c>
      <c r="K258" t="str">
        <f>IF(tb_zakazchik[[#This Row],[Столбец1]]&lt;&gt;"",tb_baza[[#This Row],[Гос. номер]],"")</f>
        <v/>
      </c>
    </row>
    <row r="259" spans="1:11" x14ac:dyDescent="0.25">
      <c r="A259" s="17" t="s">
        <v>543</v>
      </c>
      <c r="B259" s="10" t="s">
        <v>45</v>
      </c>
      <c r="C259" s="13" t="s">
        <v>306</v>
      </c>
      <c r="D259" s="7" t="s">
        <v>1269</v>
      </c>
      <c r="E259" s="2" t="s">
        <v>1307</v>
      </c>
      <c r="F259" s="2" t="s">
        <v>3</v>
      </c>
      <c r="G259" s="31"/>
      <c r="I2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59" t="str">
        <f>IF(tb_zakazchik[[#This Row],[Столбец1]]&lt;&gt;"",SUM($I$2:I259),"")</f>
        <v/>
      </c>
      <c r="K259" t="str">
        <f>IF(tb_zakazchik[[#This Row],[Столбец1]]&lt;&gt;"",tb_baza[[#This Row],[Гос. номер]],"")</f>
        <v/>
      </c>
    </row>
    <row r="260" spans="1:11" x14ac:dyDescent="0.25">
      <c r="A260" s="17" t="s">
        <v>672</v>
      </c>
      <c r="B260" s="10" t="s">
        <v>63</v>
      </c>
      <c r="C260" s="13" t="s">
        <v>306</v>
      </c>
      <c r="D260" s="7" t="s">
        <v>1269</v>
      </c>
      <c r="E260" s="2" t="s">
        <v>1307</v>
      </c>
      <c r="F260" s="2" t="s">
        <v>3</v>
      </c>
      <c r="G260" s="31"/>
      <c r="I2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0" t="str">
        <f>IF(tb_zakazchik[[#This Row],[Столбец1]]&lt;&gt;"",SUM($I$2:I260),"")</f>
        <v/>
      </c>
      <c r="K260" t="str">
        <f>IF(tb_zakazchik[[#This Row],[Столбец1]]&lt;&gt;"",tb_baza[[#This Row],[Гос. номер]],"")</f>
        <v/>
      </c>
    </row>
    <row r="261" spans="1:11" x14ac:dyDescent="0.25">
      <c r="A261" s="17" t="s">
        <v>510</v>
      </c>
      <c r="B261" s="10" t="s">
        <v>45</v>
      </c>
      <c r="C261" s="13" t="s">
        <v>306</v>
      </c>
      <c r="D261" s="7" t="s">
        <v>1269</v>
      </c>
      <c r="E261" s="2" t="s">
        <v>1307</v>
      </c>
      <c r="F261" s="2" t="s">
        <v>3</v>
      </c>
      <c r="G261" s="31"/>
      <c r="I2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1" t="str">
        <f>IF(tb_zakazchik[[#This Row],[Столбец1]]&lt;&gt;"",SUM($I$2:I261),"")</f>
        <v/>
      </c>
      <c r="K261" t="str">
        <f>IF(tb_zakazchik[[#This Row],[Столбец1]]&lt;&gt;"",tb_baza[[#This Row],[Гос. номер]],"")</f>
        <v/>
      </c>
    </row>
    <row r="262" spans="1:11" x14ac:dyDescent="0.25">
      <c r="A262" s="17" t="s">
        <v>673</v>
      </c>
      <c r="B262" s="10" t="s">
        <v>63</v>
      </c>
      <c r="C262" s="13" t="s">
        <v>306</v>
      </c>
      <c r="D262" s="7" t="s">
        <v>1269</v>
      </c>
      <c r="E262" s="2" t="s">
        <v>1307</v>
      </c>
      <c r="F262" s="2" t="s">
        <v>13</v>
      </c>
      <c r="G262" s="31"/>
      <c r="I2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2" t="str">
        <f>IF(tb_zakazchik[[#This Row],[Столбец1]]&lt;&gt;"",SUM($I$2:I262),"")</f>
        <v/>
      </c>
      <c r="K262" t="str">
        <f>IF(tb_zakazchik[[#This Row],[Столбец1]]&lt;&gt;"",tb_baza[[#This Row],[Гос. номер]],"")</f>
        <v/>
      </c>
    </row>
    <row r="263" spans="1:11" x14ac:dyDescent="0.25">
      <c r="A263" s="17" t="s">
        <v>472</v>
      </c>
      <c r="B263" s="10" t="s">
        <v>63</v>
      </c>
      <c r="C263" s="13" t="s">
        <v>306</v>
      </c>
      <c r="D263" s="7" t="s">
        <v>1269</v>
      </c>
      <c r="E263" s="2" t="s">
        <v>1307</v>
      </c>
      <c r="F263" s="2" t="s">
        <v>3</v>
      </c>
      <c r="G263" s="31"/>
      <c r="I2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3" t="str">
        <f>IF(tb_zakazchik[[#This Row],[Столбец1]]&lt;&gt;"",SUM($I$2:I263),"")</f>
        <v/>
      </c>
      <c r="K263" t="str">
        <f>IF(tb_zakazchik[[#This Row],[Столбец1]]&lt;&gt;"",tb_baza[[#This Row],[Гос. номер]],"")</f>
        <v/>
      </c>
    </row>
    <row r="264" spans="1:11" x14ac:dyDescent="0.25">
      <c r="A264" s="17" t="s">
        <v>46</v>
      </c>
      <c r="B264" s="10" t="s">
        <v>45</v>
      </c>
      <c r="C264" s="13" t="s">
        <v>306</v>
      </c>
      <c r="D264" s="7" t="s">
        <v>1269</v>
      </c>
      <c r="E264" s="2" t="s">
        <v>1307</v>
      </c>
      <c r="F264" s="2" t="s">
        <v>3</v>
      </c>
      <c r="G264" s="31"/>
      <c r="I2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4" t="str">
        <f>IF(tb_zakazchik[[#This Row],[Столбец1]]&lt;&gt;"",SUM($I$2:I264),"")</f>
        <v/>
      </c>
      <c r="K264" t="str">
        <f>IF(tb_zakazchik[[#This Row],[Столбец1]]&lt;&gt;"",tb_baza[[#This Row],[Гос. номер]],"")</f>
        <v/>
      </c>
    </row>
    <row r="265" spans="1:11" x14ac:dyDescent="0.25">
      <c r="A265" s="17" t="s">
        <v>607</v>
      </c>
      <c r="B265" s="10" t="s">
        <v>63</v>
      </c>
      <c r="C265" s="13" t="s">
        <v>306</v>
      </c>
      <c r="D265" s="7" t="s">
        <v>1269</v>
      </c>
      <c r="E265" s="2" t="s">
        <v>1307</v>
      </c>
      <c r="F265" s="2" t="s">
        <v>3</v>
      </c>
      <c r="G265" s="31"/>
      <c r="I2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5" t="str">
        <f>IF(tb_zakazchik[[#This Row],[Столбец1]]&lt;&gt;"",SUM($I$2:I265),"")</f>
        <v/>
      </c>
      <c r="K265" t="str">
        <f>IF(tb_zakazchik[[#This Row],[Столбец1]]&lt;&gt;"",tb_baza[[#This Row],[Гос. номер]],"")</f>
        <v/>
      </c>
    </row>
    <row r="266" spans="1:11" x14ac:dyDescent="0.25">
      <c r="A266" s="17" t="s">
        <v>665</v>
      </c>
      <c r="B266" s="10" t="s">
        <v>63</v>
      </c>
      <c r="C266" s="13" t="s">
        <v>306</v>
      </c>
      <c r="D266" s="7" t="s">
        <v>1269</v>
      </c>
      <c r="E266" s="2" t="s">
        <v>1307</v>
      </c>
      <c r="F266" s="2" t="s">
        <v>3</v>
      </c>
      <c r="G266" s="31"/>
      <c r="I2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6" t="str">
        <f>IF(tb_zakazchik[[#This Row],[Столбец1]]&lt;&gt;"",SUM($I$2:I266),"")</f>
        <v/>
      </c>
      <c r="K266" t="str">
        <f>IF(tb_zakazchik[[#This Row],[Столбец1]]&lt;&gt;"",tb_baza[[#This Row],[Гос. номер]],"")</f>
        <v/>
      </c>
    </row>
    <row r="267" spans="1:11" x14ac:dyDescent="0.25">
      <c r="A267" s="17" t="s">
        <v>276</v>
      </c>
      <c r="B267" s="10" t="s">
        <v>63</v>
      </c>
      <c r="C267" s="13" t="s">
        <v>306</v>
      </c>
      <c r="D267" s="7" t="s">
        <v>1269</v>
      </c>
      <c r="E267" s="2" t="s">
        <v>1307</v>
      </c>
      <c r="F267" s="2" t="s">
        <v>3</v>
      </c>
      <c r="G267" s="31"/>
      <c r="I2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7" t="str">
        <f>IF(tb_zakazchik[[#This Row],[Столбец1]]&lt;&gt;"",SUM($I$2:I267),"")</f>
        <v/>
      </c>
      <c r="K267" t="str">
        <f>IF(tb_zakazchik[[#This Row],[Столбец1]]&lt;&gt;"",tb_baza[[#This Row],[Гос. номер]],"")</f>
        <v/>
      </c>
    </row>
    <row r="268" spans="1:11" x14ac:dyDescent="0.25">
      <c r="A268" s="17" t="s">
        <v>91</v>
      </c>
      <c r="B268" s="10" t="s">
        <v>63</v>
      </c>
      <c r="C268" s="13" t="s">
        <v>306</v>
      </c>
      <c r="D268" s="7" t="s">
        <v>1269</v>
      </c>
      <c r="E268" s="2" t="s">
        <v>1307</v>
      </c>
      <c r="F268" s="2" t="s">
        <v>3</v>
      </c>
      <c r="G268" s="31"/>
      <c r="I2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8" t="str">
        <f>IF(tb_zakazchik[[#This Row],[Столбец1]]&lt;&gt;"",SUM($I$2:I268),"")</f>
        <v/>
      </c>
      <c r="K268" t="str">
        <f>IF(tb_zakazchik[[#This Row],[Столбец1]]&lt;&gt;"",tb_baza[[#This Row],[Гос. номер]],"")</f>
        <v/>
      </c>
    </row>
    <row r="269" spans="1:11" x14ac:dyDescent="0.25">
      <c r="A269" s="17" t="s">
        <v>64</v>
      </c>
      <c r="B269" s="10" t="s">
        <v>63</v>
      </c>
      <c r="C269" s="13" t="s">
        <v>306</v>
      </c>
      <c r="D269" s="7" t="s">
        <v>1269</v>
      </c>
      <c r="E269" s="2" t="s">
        <v>1307</v>
      </c>
      <c r="F269" s="2" t="s">
        <v>3</v>
      </c>
      <c r="G269" s="31"/>
      <c r="I2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69" t="str">
        <f>IF(tb_zakazchik[[#This Row],[Столбец1]]&lt;&gt;"",SUM($I$2:I269),"")</f>
        <v/>
      </c>
      <c r="K269" t="str">
        <f>IF(tb_zakazchik[[#This Row],[Столбец1]]&lt;&gt;"",tb_baza[[#This Row],[Гос. номер]],"")</f>
        <v/>
      </c>
    </row>
    <row r="270" spans="1:11" x14ac:dyDescent="0.25">
      <c r="A270" s="17" t="s">
        <v>620</v>
      </c>
      <c r="B270" s="10" t="s">
        <v>45</v>
      </c>
      <c r="C270" s="13" t="s">
        <v>306</v>
      </c>
      <c r="D270" s="7" t="s">
        <v>1269</v>
      </c>
      <c r="E270" s="2" t="s">
        <v>1307</v>
      </c>
      <c r="F270" s="2" t="s">
        <v>6</v>
      </c>
      <c r="G270" s="31"/>
      <c r="I2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0" t="str">
        <f>IF(tb_zakazchik[[#This Row],[Столбец1]]&lt;&gt;"",SUM($I$2:I270),"")</f>
        <v/>
      </c>
      <c r="K270" t="str">
        <f>IF(tb_zakazchik[[#This Row],[Столбец1]]&lt;&gt;"",tb_baza[[#This Row],[Гос. номер]],"")</f>
        <v/>
      </c>
    </row>
    <row r="271" spans="1:11" x14ac:dyDescent="0.25">
      <c r="A271" s="17" t="s">
        <v>290</v>
      </c>
      <c r="B271" s="10" t="s">
        <v>63</v>
      </c>
      <c r="C271" s="13" t="s">
        <v>306</v>
      </c>
      <c r="D271" s="7" t="s">
        <v>1269</v>
      </c>
      <c r="E271" s="2" t="s">
        <v>1307</v>
      </c>
      <c r="F271" s="2" t="s">
        <v>6</v>
      </c>
      <c r="G271" s="31"/>
      <c r="I2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1" t="str">
        <f>IF(tb_zakazchik[[#This Row],[Столбец1]]&lt;&gt;"",SUM($I$2:I271),"")</f>
        <v/>
      </c>
      <c r="K271" t="str">
        <f>IF(tb_zakazchik[[#This Row],[Столбец1]]&lt;&gt;"",tb_baza[[#This Row],[Гос. номер]],"")</f>
        <v/>
      </c>
    </row>
    <row r="272" spans="1:11" x14ac:dyDescent="0.25">
      <c r="A272" s="17" t="s">
        <v>668</v>
      </c>
      <c r="B272" s="10" t="s">
        <v>63</v>
      </c>
      <c r="C272" s="13" t="s">
        <v>306</v>
      </c>
      <c r="D272" s="7" t="s">
        <v>1269</v>
      </c>
      <c r="E272" s="2" t="s">
        <v>1307</v>
      </c>
      <c r="F272" s="2" t="s">
        <v>3</v>
      </c>
      <c r="G272" s="31"/>
      <c r="I2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2" t="str">
        <f>IF(tb_zakazchik[[#This Row],[Столбец1]]&lt;&gt;"",SUM($I$2:I272),"")</f>
        <v/>
      </c>
      <c r="K272" t="str">
        <f>IF(tb_zakazchik[[#This Row],[Столбец1]]&lt;&gt;"",tb_baza[[#This Row],[Гос. номер]],"")</f>
        <v/>
      </c>
    </row>
    <row r="273" spans="1:11" x14ac:dyDescent="0.25">
      <c r="A273" s="17" t="s">
        <v>979</v>
      </c>
      <c r="B273" s="10" t="s">
        <v>45</v>
      </c>
      <c r="C273" s="13" t="s">
        <v>306</v>
      </c>
      <c r="D273" s="7" t="s">
        <v>1269</v>
      </c>
      <c r="E273" s="2" t="s">
        <v>1307</v>
      </c>
      <c r="F273" s="2" t="s">
        <v>6</v>
      </c>
      <c r="G273" s="31"/>
      <c r="I2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3" t="str">
        <f>IF(tb_zakazchik[[#This Row],[Столбец1]]&lt;&gt;"",SUM($I$2:I273),"")</f>
        <v/>
      </c>
      <c r="K273" t="str">
        <f>IF(tb_zakazchik[[#This Row],[Столбец1]]&lt;&gt;"",tb_baza[[#This Row],[Гос. номер]],"")</f>
        <v/>
      </c>
    </row>
    <row r="274" spans="1:11" x14ac:dyDescent="0.25">
      <c r="A274" s="17" t="s">
        <v>201</v>
      </c>
      <c r="B274" s="10" t="s">
        <v>63</v>
      </c>
      <c r="C274" s="13" t="s">
        <v>306</v>
      </c>
      <c r="D274" s="7" t="s">
        <v>1269</v>
      </c>
      <c r="E274" s="2" t="s">
        <v>1307</v>
      </c>
      <c r="F274" s="2" t="s">
        <v>6</v>
      </c>
      <c r="G274" s="31"/>
      <c r="I2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4" t="str">
        <f>IF(tb_zakazchik[[#This Row],[Столбец1]]&lt;&gt;"",SUM($I$2:I274),"")</f>
        <v/>
      </c>
      <c r="K274" t="str">
        <f>IF(tb_zakazchik[[#This Row],[Столбец1]]&lt;&gt;"",tb_baza[[#This Row],[Гос. номер]],"")</f>
        <v/>
      </c>
    </row>
    <row r="275" spans="1:11" x14ac:dyDescent="0.25">
      <c r="A275" s="17" t="s">
        <v>741</v>
      </c>
      <c r="B275" s="10" t="s">
        <v>63</v>
      </c>
      <c r="C275" s="13" t="s">
        <v>306</v>
      </c>
      <c r="D275" s="7" t="s">
        <v>1269</v>
      </c>
      <c r="E275" s="2" t="s">
        <v>1307</v>
      </c>
      <c r="F275" s="2" t="s">
        <v>6</v>
      </c>
      <c r="G275" s="31"/>
      <c r="I2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5" t="str">
        <f>IF(tb_zakazchik[[#This Row],[Столбец1]]&lt;&gt;"",SUM($I$2:I275),"")</f>
        <v/>
      </c>
      <c r="K275" t="str">
        <f>IF(tb_zakazchik[[#This Row],[Столбец1]]&lt;&gt;"",tb_baza[[#This Row],[Гос. номер]],"")</f>
        <v/>
      </c>
    </row>
    <row r="276" spans="1:11" x14ac:dyDescent="0.25">
      <c r="A276" s="17" t="s">
        <v>662</v>
      </c>
      <c r="B276" s="10" t="s">
        <v>63</v>
      </c>
      <c r="C276" s="13" t="s">
        <v>306</v>
      </c>
      <c r="D276" s="7" t="s">
        <v>1269</v>
      </c>
      <c r="E276" s="2" t="s">
        <v>1307</v>
      </c>
      <c r="F276" s="2" t="s">
        <v>3</v>
      </c>
      <c r="G276" s="31"/>
      <c r="I2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6" t="str">
        <f>IF(tb_zakazchik[[#This Row],[Столбец1]]&lt;&gt;"",SUM($I$2:I276),"")</f>
        <v/>
      </c>
      <c r="K276" t="str">
        <f>IF(tb_zakazchik[[#This Row],[Столбец1]]&lt;&gt;"",tb_baza[[#This Row],[Гос. номер]],"")</f>
        <v/>
      </c>
    </row>
    <row r="277" spans="1:11" x14ac:dyDescent="0.25">
      <c r="A277" s="17" t="s">
        <v>838</v>
      </c>
      <c r="B277" s="10" t="s">
        <v>63</v>
      </c>
      <c r="C277" s="13" t="s">
        <v>306</v>
      </c>
      <c r="D277" s="7" t="s">
        <v>1269</v>
      </c>
      <c r="E277" s="2" t="s">
        <v>1307</v>
      </c>
      <c r="F277" s="2" t="s">
        <v>6</v>
      </c>
      <c r="G277" s="31"/>
      <c r="I2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7" t="str">
        <f>IF(tb_zakazchik[[#This Row],[Столбец1]]&lt;&gt;"",SUM($I$2:I277),"")</f>
        <v/>
      </c>
      <c r="K277" t="str">
        <f>IF(tb_zakazchik[[#This Row],[Столбец1]]&lt;&gt;"",tb_baza[[#This Row],[Гос. номер]],"")</f>
        <v/>
      </c>
    </row>
    <row r="278" spans="1:11" x14ac:dyDescent="0.25">
      <c r="A278" s="17" t="s">
        <v>669</v>
      </c>
      <c r="B278" s="10" t="s">
        <v>63</v>
      </c>
      <c r="C278" s="13" t="s">
        <v>306</v>
      </c>
      <c r="D278" s="7" t="s">
        <v>1269</v>
      </c>
      <c r="E278" s="2" t="s">
        <v>1307</v>
      </c>
      <c r="F278" s="2" t="s">
        <v>6</v>
      </c>
      <c r="G278" s="31"/>
      <c r="I2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8" t="str">
        <f>IF(tb_zakazchik[[#This Row],[Столбец1]]&lt;&gt;"",SUM($I$2:I278),"")</f>
        <v/>
      </c>
      <c r="K278" t="str">
        <f>IF(tb_zakazchik[[#This Row],[Столбец1]]&lt;&gt;"",tb_baza[[#This Row],[Гос. номер]],"")</f>
        <v/>
      </c>
    </row>
    <row r="279" spans="1:11" x14ac:dyDescent="0.25">
      <c r="A279" s="17" t="s">
        <v>513</v>
      </c>
      <c r="B279" s="10" t="s">
        <v>45</v>
      </c>
      <c r="C279" s="13" t="s">
        <v>306</v>
      </c>
      <c r="D279" s="7" t="s">
        <v>1269</v>
      </c>
      <c r="E279" s="2" t="s">
        <v>1307</v>
      </c>
      <c r="F279" s="2" t="s">
        <v>6</v>
      </c>
      <c r="G279" s="31"/>
      <c r="I2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79" t="str">
        <f>IF(tb_zakazchik[[#This Row],[Столбец1]]&lt;&gt;"",SUM($I$2:I279),"")</f>
        <v/>
      </c>
      <c r="K279" t="str">
        <f>IF(tb_zakazchik[[#This Row],[Столбец1]]&lt;&gt;"",tb_baza[[#This Row],[Гос. номер]],"")</f>
        <v/>
      </c>
    </row>
    <row r="280" spans="1:11" x14ac:dyDescent="0.25">
      <c r="A280" s="17" t="s">
        <v>514</v>
      </c>
      <c r="B280" s="10" t="s">
        <v>45</v>
      </c>
      <c r="C280" s="13" t="s">
        <v>306</v>
      </c>
      <c r="D280" s="7" t="s">
        <v>1269</v>
      </c>
      <c r="E280" s="2" t="s">
        <v>1307</v>
      </c>
      <c r="F280" s="2" t="s">
        <v>3</v>
      </c>
      <c r="G280" s="31"/>
      <c r="I2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0" t="str">
        <f>IF(tb_zakazchik[[#This Row],[Столбец1]]&lt;&gt;"",SUM($I$2:I280),"")</f>
        <v/>
      </c>
      <c r="K280" t="str">
        <f>IF(tb_zakazchik[[#This Row],[Столбец1]]&lt;&gt;"",tb_baza[[#This Row],[Гос. номер]],"")</f>
        <v/>
      </c>
    </row>
    <row r="281" spans="1:11" x14ac:dyDescent="0.25">
      <c r="A281" s="17" t="s">
        <v>548</v>
      </c>
      <c r="B281" s="10" t="s">
        <v>45</v>
      </c>
      <c r="C281" s="13" t="s">
        <v>306</v>
      </c>
      <c r="D281" s="7" t="s">
        <v>1269</v>
      </c>
      <c r="E281" s="2" t="s">
        <v>1307</v>
      </c>
      <c r="F281" s="2" t="s">
        <v>6</v>
      </c>
      <c r="G281" s="31"/>
      <c r="I2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1" t="str">
        <f>IF(tb_zakazchik[[#This Row],[Столбец1]]&lt;&gt;"",SUM($I$2:I281),"")</f>
        <v/>
      </c>
      <c r="K281" t="str">
        <f>IF(tb_zakazchik[[#This Row],[Столбец1]]&lt;&gt;"",tb_baza[[#This Row],[Гос. номер]],"")</f>
        <v/>
      </c>
    </row>
    <row r="282" spans="1:11" x14ac:dyDescent="0.25">
      <c r="A282" s="17" t="s">
        <v>544</v>
      </c>
      <c r="B282" s="10" t="s">
        <v>45</v>
      </c>
      <c r="C282" s="13" t="s">
        <v>306</v>
      </c>
      <c r="D282" s="7" t="s">
        <v>1269</v>
      </c>
      <c r="E282" s="2" t="s">
        <v>1307</v>
      </c>
      <c r="F282" s="2" t="s">
        <v>13</v>
      </c>
      <c r="G282" s="31"/>
      <c r="I2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2" t="str">
        <f>IF(tb_zakazchik[[#This Row],[Столбец1]]&lt;&gt;"",SUM($I$2:I282),"")</f>
        <v/>
      </c>
      <c r="K282" t="str">
        <f>IF(tb_zakazchik[[#This Row],[Столбец1]]&lt;&gt;"",tb_baza[[#This Row],[Гос. номер]],"")</f>
        <v/>
      </c>
    </row>
    <row r="283" spans="1:11" x14ac:dyDescent="0.25">
      <c r="A283" s="17" t="s">
        <v>500</v>
      </c>
      <c r="B283" s="10" t="s">
        <v>63</v>
      </c>
      <c r="C283" s="13" t="s">
        <v>306</v>
      </c>
      <c r="D283" s="7" t="s">
        <v>1269</v>
      </c>
      <c r="E283" s="2" t="s">
        <v>1307</v>
      </c>
      <c r="F283" s="2" t="s">
        <v>3</v>
      </c>
      <c r="G283" s="31"/>
      <c r="I2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3" t="str">
        <f>IF(tb_zakazchik[[#This Row],[Столбец1]]&lt;&gt;"",SUM($I$2:I283),"")</f>
        <v/>
      </c>
      <c r="K283" t="str">
        <f>IF(tb_zakazchik[[#This Row],[Столбец1]]&lt;&gt;"",tb_baza[[#This Row],[Гос. номер]],"")</f>
        <v/>
      </c>
    </row>
    <row r="284" spans="1:11" x14ac:dyDescent="0.25">
      <c r="A284" s="17" t="s">
        <v>740</v>
      </c>
      <c r="B284" s="10" t="s">
        <v>63</v>
      </c>
      <c r="C284" s="13" t="s">
        <v>306</v>
      </c>
      <c r="D284" s="7" t="s">
        <v>1269</v>
      </c>
      <c r="E284" s="2" t="s">
        <v>1307</v>
      </c>
      <c r="F284" s="2" t="s">
        <v>3</v>
      </c>
      <c r="G284" s="31"/>
      <c r="I2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4" t="str">
        <f>IF(tb_zakazchik[[#This Row],[Столбец1]]&lt;&gt;"",SUM($I$2:I284),"")</f>
        <v/>
      </c>
      <c r="K284" t="str">
        <f>IF(tb_zakazchik[[#This Row],[Столбец1]]&lt;&gt;"",tb_baza[[#This Row],[Гос. номер]],"")</f>
        <v/>
      </c>
    </row>
    <row r="285" spans="1:11" x14ac:dyDescent="0.25">
      <c r="A285" s="17" t="s">
        <v>83</v>
      </c>
      <c r="B285" s="10" t="s">
        <v>63</v>
      </c>
      <c r="C285" s="13" t="s">
        <v>306</v>
      </c>
      <c r="D285" s="7" t="s">
        <v>1269</v>
      </c>
      <c r="E285" s="2" t="s">
        <v>1307</v>
      </c>
      <c r="F285" s="2" t="s">
        <v>3</v>
      </c>
      <c r="G285" s="31"/>
      <c r="I2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5" t="str">
        <f>IF(tb_zakazchik[[#This Row],[Столбец1]]&lt;&gt;"",SUM($I$2:I285),"")</f>
        <v/>
      </c>
      <c r="K285" t="str">
        <f>IF(tb_zakazchik[[#This Row],[Столбец1]]&lt;&gt;"",tb_baza[[#This Row],[Гос. номер]],"")</f>
        <v/>
      </c>
    </row>
    <row r="286" spans="1:11" x14ac:dyDescent="0.25">
      <c r="A286" s="17" t="s">
        <v>584</v>
      </c>
      <c r="B286" s="10" t="s">
        <v>45</v>
      </c>
      <c r="C286" s="13" t="s">
        <v>306</v>
      </c>
      <c r="D286" s="7" t="s">
        <v>1269</v>
      </c>
      <c r="E286" s="2" t="s">
        <v>1307</v>
      </c>
      <c r="F286" s="2" t="s">
        <v>3</v>
      </c>
      <c r="G286" s="31"/>
      <c r="I2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6" t="str">
        <f>IF(tb_zakazchik[[#This Row],[Столбец1]]&lt;&gt;"",SUM($I$2:I286),"")</f>
        <v/>
      </c>
      <c r="K286" t="str">
        <f>IF(tb_zakazchik[[#This Row],[Столбец1]]&lt;&gt;"",tb_baza[[#This Row],[Гос. номер]],"")</f>
        <v/>
      </c>
    </row>
    <row r="287" spans="1:11" x14ac:dyDescent="0.25">
      <c r="A287" s="17" t="s">
        <v>903</v>
      </c>
      <c r="B287" s="10" t="s">
        <v>45</v>
      </c>
      <c r="C287" s="13" t="s">
        <v>306</v>
      </c>
      <c r="D287" s="7" t="s">
        <v>1269</v>
      </c>
      <c r="E287" s="2" t="s">
        <v>1307</v>
      </c>
      <c r="F287" s="2" t="s">
        <v>3</v>
      </c>
      <c r="G287" s="31"/>
      <c r="I2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7" t="str">
        <f>IF(tb_zakazchik[[#This Row],[Столбец1]]&lt;&gt;"",SUM($I$2:I287),"")</f>
        <v/>
      </c>
      <c r="K287" t="str">
        <f>IF(tb_zakazchik[[#This Row],[Столбец1]]&lt;&gt;"",tb_baza[[#This Row],[Гос. номер]],"")</f>
        <v/>
      </c>
    </row>
    <row r="288" spans="1:11" x14ac:dyDescent="0.25">
      <c r="A288" s="17" t="s">
        <v>595</v>
      </c>
      <c r="B288" s="10" t="s">
        <v>45</v>
      </c>
      <c r="C288" s="13" t="s">
        <v>306</v>
      </c>
      <c r="D288" s="7" t="s">
        <v>1269</v>
      </c>
      <c r="E288" s="2" t="s">
        <v>1307</v>
      </c>
      <c r="F288" s="2" t="s">
        <v>3</v>
      </c>
      <c r="G288" s="31"/>
      <c r="I2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8" t="str">
        <f>IF(tb_zakazchik[[#This Row],[Столбец1]]&lt;&gt;"",SUM($I$2:I288),"")</f>
        <v/>
      </c>
      <c r="K288" t="str">
        <f>IF(tb_zakazchik[[#This Row],[Столбец1]]&lt;&gt;"",tb_baza[[#This Row],[Гос. номер]],"")</f>
        <v/>
      </c>
    </row>
    <row r="289" spans="1:11" x14ac:dyDescent="0.25">
      <c r="A289" s="17" t="s">
        <v>902</v>
      </c>
      <c r="B289" s="10" t="s">
        <v>45</v>
      </c>
      <c r="C289" s="13" t="s">
        <v>306</v>
      </c>
      <c r="D289" s="7" t="s">
        <v>1269</v>
      </c>
      <c r="E289" s="2" t="s">
        <v>1307</v>
      </c>
      <c r="F289" s="2" t="s">
        <v>3</v>
      </c>
      <c r="G289" s="31"/>
      <c r="I2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89" t="str">
        <f>IF(tb_zakazchik[[#This Row],[Столбец1]]&lt;&gt;"",SUM($I$2:I289),"")</f>
        <v/>
      </c>
      <c r="K289" t="str">
        <f>IF(tb_zakazchik[[#This Row],[Столбец1]]&lt;&gt;"",tb_baza[[#This Row],[Гос. номер]],"")</f>
        <v/>
      </c>
    </row>
    <row r="290" spans="1:11" x14ac:dyDescent="0.25">
      <c r="A290" s="17" t="s">
        <v>574</v>
      </c>
      <c r="B290" s="10" t="s">
        <v>45</v>
      </c>
      <c r="C290" s="13" t="s">
        <v>306</v>
      </c>
      <c r="D290" s="7" t="s">
        <v>1269</v>
      </c>
      <c r="E290" s="2" t="s">
        <v>1307</v>
      </c>
      <c r="F290" s="2" t="s">
        <v>6</v>
      </c>
      <c r="G290" s="31"/>
      <c r="I2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0" t="str">
        <f>IF(tb_zakazchik[[#This Row],[Столбец1]]&lt;&gt;"",SUM($I$2:I290),"")</f>
        <v/>
      </c>
      <c r="K290" t="str">
        <f>IF(tb_zakazchik[[#This Row],[Столбец1]]&lt;&gt;"",tb_baza[[#This Row],[Гос. номер]],"")</f>
        <v/>
      </c>
    </row>
    <row r="291" spans="1:11" x14ac:dyDescent="0.25">
      <c r="A291" s="17" t="s">
        <v>573</v>
      </c>
      <c r="B291" s="10" t="s">
        <v>45</v>
      </c>
      <c r="C291" s="13" t="s">
        <v>306</v>
      </c>
      <c r="D291" s="7" t="s">
        <v>1269</v>
      </c>
      <c r="E291" s="2" t="s">
        <v>1307</v>
      </c>
      <c r="F291" s="2" t="s">
        <v>3</v>
      </c>
      <c r="G291" s="31"/>
      <c r="I2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1" t="str">
        <f>IF(tb_zakazchik[[#This Row],[Столбец1]]&lt;&gt;"",SUM($I$2:I291),"")</f>
        <v/>
      </c>
      <c r="K291" t="str">
        <f>IF(tb_zakazchik[[#This Row],[Столбец1]]&lt;&gt;"",tb_baza[[#This Row],[Гос. номер]],"")</f>
        <v/>
      </c>
    </row>
    <row r="292" spans="1:11" x14ac:dyDescent="0.25">
      <c r="A292" s="17" t="s">
        <v>547</v>
      </c>
      <c r="B292" s="10" t="s">
        <v>45</v>
      </c>
      <c r="C292" s="13" t="s">
        <v>306</v>
      </c>
      <c r="D292" s="7" t="s">
        <v>1269</v>
      </c>
      <c r="E292" s="2" t="s">
        <v>1307</v>
      </c>
      <c r="F292" s="2" t="s">
        <v>6</v>
      </c>
      <c r="G292" s="31"/>
      <c r="I2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2" t="str">
        <f>IF(tb_zakazchik[[#This Row],[Столбец1]]&lt;&gt;"",SUM($I$2:I292),"")</f>
        <v/>
      </c>
      <c r="K292" t="str">
        <f>IF(tb_zakazchik[[#This Row],[Столбец1]]&lt;&gt;"",tb_baza[[#This Row],[Гос. номер]],"")</f>
        <v/>
      </c>
    </row>
    <row r="293" spans="1:11" x14ac:dyDescent="0.25">
      <c r="A293" s="17" t="s">
        <v>546</v>
      </c>
      <c r="B293" s="10" t="s">
        <v>45</v>
      </c>
      <c r="C293" s="13" t="s">
        <v>306</v>
      </c>
      <c r="D293" s="7" t="s">
        <v>1269</v>
      </c>
      <c r="E293" s="2" t="s">
        <v>1307</v>
      </c>
      <c r="F293" s="2" t="s">
        <v>3</v>
      </c>
      <c r="G293" s="31"/>
      <c r="I2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3" t="str">
        <f>IF(tb_zakazchik[[#This Row],[Столбец1]]&lt;&gt;"",SUM($I$2:I293),"")</f>
        <v/>
      </c>
      <c r="K293" t="str">
        <f>IF(tb_zakazchik[[#This Row],[Столбец1]]&lt;&gt;"",tb_baza[[#This Row],[Гос. номер]],"")</f>
        <v/>
      </c>
    </row>
    <row r="294" spans="1:11" x14ac:dyDescent="0.25">
      <c r="A294" s="17" t="s">
        <v>872</v>
      </c>
      <c r="B294" s="10" t="s">
        <v>45</v>
      </c>
      <c r="C294" s="13" t="s">
        <v>306</v>
      </c>
      <c r="D294" s="7" t="s">
        <v>1269</v>
      </c>
      <c r="E294" s="2" t="s">
        <v>1307</v>
      </c>
      <c r="F294" s="2" t="s">
        <v>6</v>
      </c>
      <c r="G294" s="31"/>
      <c r="I2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4" t="str">
        <f>IF(tb_zakazchik[[#This Row],[Столбец1]]&lt;&gt;"",SUM($I$2:I294),"")</f>
        <v/>
      </c>
      <c r="K294" t="str">
        <f>IF(tb_zakazchik[[#This Row],[Столбец1]]&lt;&gt;"",tb_baza[[#This Row],[Гос. номер]],"")</f>
        <v/>
      </c>
    </row>
    <row r="295" spans="1:11" x14ac:dyDescent="0.25">
      <c r="A295" s="17" t="s">
        <v>272</v>
      </c>
      <c r="B295" s="10" t="s">
        <v>45</v>
      </c>
      <c r="C295" s="13" t="s">
        <v>306</v>
      </c>
      <c r="D295" s="7" t="s">
        <v>1269</v>
      </c>
      <c r="E295" s="2" t="s">
        <v>1307</v>
      </c>
      <c r="F295" s="2" t="s">
        <v>3</v>
      </c>
      <c r="G295" s="31"/>
      <c r="I2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5" t="str">
        <f>IF(tb_zakazchik[[#This Row],[Столбец1]]&lt;&gt;"",SUM($I$2:I295),"")</f>
        <v/>
      </c>
      <c r="K295" t="str">
        <f>IF(tb_zakazchik[[#This Row],[Столбец1]]&lt;&gt;"",tb_baza[[#This Row],[Гос. номер]],"")</f>
        <v/>
      </c>
    </row>
    <row r="296" spans="1:11" x14ac:dyDescent="0.25">
      <c r="A296" s="17" t="s">
        <v>567</v>
      </c>
      <c r="B296" s="10" t="s">
        <v>45</v>
      </c>
      <c r="C296" s="13" t="s">
        <v>306</v>
      </c>
      <c r="D296" s="7" t="s">
        <v>1269</v>
      </c>
      <c r="E296" s="2" t="s">
        <v>1307</v>
      </c>
      <c r="F296" s="2" t="s">
        <v>3</v>
      </c>
      <c r="G296" s="31"/>
      <c r="I2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6" t="str">
        <f>IF(tb_zakazchik[[#This Row],[Столбец1]]&lt;&gt;"",SUM($I$2:I296),"")</f>
        <v/>
      </c>
      <c r="K296" t="str">
        <f>IF(tb_zakazchik[[#This Row],[Столбец1]]&lt;&gt;"",tb_baza[[#This Row],[Гос. номер]],"")</f>
        <v/>
      </c>
    </row>
    <row r="297" spans="1:11" x14ac:dyDescent="0.25">
      <c r="A297" s="17" t="s">
        <v>622</v>
      </c>
      <c r="B297" s="10" t="s">
        <v>45</v>
      </c>
      <c r="C297" s="13" t="s">
        <v>306</v>
      </c>
      <c r="D297" s="7" t="s">
        <v>1269</v>
      </c>
      <c r="E297" s="2" t="s">
        <v>1307</v>
      </c>
      <c r="F297" s="2" t="s">
        <v>6</v>
      </c>
      <c r="G297" s="31"/>
      <c r="I2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7" t="str">
        <f>IF(tb_zakazchik[[#This Row],[Столбец1]]&lt;&gt;"",SUM($I$2:I297),"")</f>
        <v/>
      </c>
      <c r="K297" t="str">
        <f>IF(tb_zakazchik[[#This Row],[Столбец1]]&lt;&gt;"",tb_baza[[#This Row],[Гос. номер]],"")</f>
        <v/>
      </c>
    </row>
    <row r="298" spans="1:11" x14ac:dyDescent="0.25">
      <c r="A298" s="17" t="s">
        <v>131</v>
      </c>
      <c r="B298" s="10" t="s">
        <v>45</v>
      </c>
      <c r="C298" s="13" t="s">
        <v>306</v>
      </c>
      <c r="D298" s="7" t="s">
        <v>1269</v>
      </c>
      <c r="E298" s="2" t="s">
        <v>1307</v>
      </c>
      <c r="F298" s="2" t="s">
        <v>3</v>
      </c>
      <c r="G298" s="31"/>
      <c r="I2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8" t="str">
        <f>IF(tb_zakazchik[[#This Row],[Столбец1]]&lt;&gt;"",SUM($I$2:I298),"")</f>
        <v/>
      </c>
      <c r="K298" t="str">
        <f>IF(tb_zakazchik[[#This Row],[Столбец1]]&lt;&gt;"",tb_baza[[#This Row],[Гос. номер]],"")</f>
        <v/>
      </c>
    </row>
    <row r="299" spans="1:11" x14ac:dyDescent="0.25">
      <c r="A299" s="17" t="s">
        <v>202</v>
      </c>
      <c r="B299" s="10" t="s">
        <v>45</v>
      </c>
      <c r="C299" s="13" t="s">
        <v>306</v>
      </c>
      <c r="D299" s="7" t="s">
        <v>1269</v>
      </c>
      <c r="E299" s="2" t="s">
        <v>1307</v>
      </c>
      <c r="F299" s="2" t="s">
        <v>3</v>
      </c>
      <c r="G299" s="31"/>
      <c r="I2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299" t="str">
        <f>IF(tb_zakazchik[[#This Row],[Столбец1]]&lt;&gt;"",SUM($I$2:I299),"")</f>
        <v/>
      </c>
      <c r="K299" t="str">
        <f>IF(tb_zakazchik[[#This Row],[Столбец1]]&lt;&gt;"",tb_baza[[#This Row],[Гос. номер]],"")</f>
        <v/>
      </c>
    </row>
    <row r="300" spans="1:11" x14ac:dyDescent="0.25">
      <c r="A300" s="17" t="s">
        <v>93</v>
      </c>
      <c r="B300" s="10" t="s">
        <v>92</v>
      </c>
      <c r="C300" s="13" t="s">
        <v>306</v>
      </c>
      <c r="D300" s="7" t="s">
        <v>1269</v>
      </c>
      <c r="E300" s="2" t="s">
        <v>1307</v>
      </c>
      <c r="F300" s="2" t="s">
        <v>6</v>
      </c>
      <c r="G300" s="31"/>
      <c r="I3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0" t="str">
        <f>IF(tb_zakazchik[[#This Row],[Столбец1]]&lt;&gt;"",SUM($I$2:I300),"")</f>
        <v/>
      </c>
      <c r="K300" t="str">
        <f>IF(tb_zakazchik[[#This Row],[Столбец1]]&lt;&gt;"",tb_baza[[#This Row],[Гос. номер]],"")</f>
        <v/>
      </c>
    </row>
    <row r="301" spans="1:11" x14ac:dyDescent="0.25">
      <c r="A301" s="17" t="s">
        <v>950</v>
      </c>
      <c r="B301" s="10" t="s">
        <v>4</v>
      </c>
      <c r="C301" s="13" t="s">
        <v>306</v>
      </c>
      <c r="D301" s="7" t="s">
        <v>1269</v>
      </c>
      <c r="E301" s="2" t="s">
        <v>1307</v>
      </c>
      <c r="F301" s="2" t="s">
        <v>3</v>
      </c>
      <c r="G301" s="31"/>
      <c r="I3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1" t="str">
        <f>IF(tb_zakazchik[[#This Row],[Столбец1]]&lt;&gt;"",SUM($I$2:I301),"")</f>
        <v/>
      </c>
      <c r="K301" t="str">
        <f>IF(tb_zakazchik[[#This Row],[Столбец1]]&lt;&gt;"",tb_baza[[#This Row],[Гос. номер]],"")</f>
        <v/>
      </c>
    </row>
    <row r="302" spans="1:11" x14ac:dyDescent="0.25">
      <c r="A302" s="17" t="s">
        <v>901</v>
      </c>
      <c r="B302" s="10" t="s">
        <v>4</v>
      </c>
      <c r="C302" s="13" t="s">
        <v>306</v>
      </c>
      <c r="D302" s="7" t="s">
        <v>1269</v>
      </c>
      <c r="E302" s="2" t="s">
        <v>1307</v>
      </c>
      <c r="F302" s="2" t="s">
        <v>3</v>
      </c>
      <c r="G302" s="31"/>
      <c r="I3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2" t="str">
        <f>IF(tb_zakazchik[[#This Row],[Столбец1]]&lt;&gt;"",SUM($I$2:I302),"")</f>
        <v/>
      </c>
      <c r="K302" t="str">
        <f>IF(tb_zakazchik[[#This Row],[Столбец1]]&lt;&gt;"",tb_baza[[#This Row],[Гос. номер]],"")</f>
        <v/>
      </c>
    </row>
    <row r="303" spans="1:11" x14ac:dyDescent="0.25">
      <c r="A303" s="17" t="s">
        <v>44</v>
      </c>
      <c r="B303" s="10" t="s">
        <v>4</v>
      </c>
      <c r="C303" s="13" t="s">
        <v>306</v>
      </c>
      <c r="D303" s="7" t="s">
        <v>1269</v>
      </c>
      <c r="E303" s="2" t="s">
        <v>1307</v>
      </c>
      <c r="F303" s="2" t="s">
        <v>6</v>
      </c>
      <c r="G303" s="31"/>
      <c r="I3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3" t="str">
        <f>IF(tb_zakazchik[[#This Row],[Столбец1]]&lt;&gt;"",SUM($I$2:I303),"")</f>
        <v/>
      </c>
      <c r="K303" t="str">
        <f>IF(tb_zakazchik[[#This Row],[Столбец1]]&lt;&gt;"",tb_baza[[#This Row],[Гос. номер]],"")</f>
        <v/>
      </c>
    </row>
    <row r="304" spans="1:11" x14ac:dyDescent="0.25">
      <c r="A304" s="17" t="s">
        <v>619</v>
      </c>
      <c r="B304" s="10" t="s">
        <v>59</v>
      </c>
      <c r="C304" s="13" t="s">
        <v>306</v>
      </c>
      <c r="D304" s="7" t="s">
        <v>1269</v>
      </c>
      <c r="E304" s="2" t="s">
        <v>1307</v>
      </c>
      <c r="F304" s="2" t="s">
        <v>6</v>
      </c>
      <c r="G304" s="31"/>
      <c r="I3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4" t="str">
        <f>IF(tb_zakazchik[[#This Row],[Столбец1]]&lt;&gt;"",SUM($I$2:I304),"")</f>
        <v/>
      </c>
      <c r="K304" t="str">
        <f>IF(tb_zakazchik[[#This Row],[Столбец1]]&lt;&gt;"",tb_baza[[#This Row],[Гос. номер]],"")</f>
        <v/>
      </c>
    </row>
    <row r="305" spans="1:11" x14ac:dyDescent="0.25">
      <c r="A305" s="17" t="s">
        <v>517</v>
      </c>
      <c r="B305" s="10" t="s">
        <v>59</v>
      </c>
      <c r="C305" s="13" t="s">
        <v>306</v>
      </c>
      <c r="D305" s="7" t="s">
        <v>1269</v>
      </c>
      <c r="E305" s="2" t="s">
        <v>1307</v>
      </c>
      <c r="F305" s="2" t="s">
        <v>13</v>
      </c>
      <c r="G305" s="31"/>
      <c r="I3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5" t="str">
        <f>IF(tb_zakazchik[[#This Row],[Столбец1]]&lt;&gt;"",SUM($I$2:I305),"")</f>
        <v/>
      </c>
      <c r="K305" t="str">
        <f>IF(tb_zakazchik[[#This Row],[Столбец1]]&lt;&gt;"",tb_baza[[#This Row],[Гос. номер]],"")</f>
        <v/>
      </c>
    </row>
    <row r="306" spans="1:11" x14ac:dyDescent="0.25">
      <c r="A306" s="17" t="s">
        <v>786</v>
      </c>
      <c r="B306" s="10" t="s">
        <v>194</v>
      </c>
      <c r="C306" s="13" t="s">
        <v>306</v>
      </c>
      <c r="D306" s="7" t="s">
        <v>1269</v>
      </c>
      <c r="E306" s="2" t="s">
        <v>1307</v>
      </c>
      <c r="F306" s="2" t="s">
        <v>6</v>
      </c>
      <c r="G306" s="31"/>
      <c r="I3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6" t="str">
        <f>IF(tb_zakazchik[[#This Row],[Столбец1]]&lt;&gt;"",SUM($I$2:I306),"")</f>
        <v/>
      </c>
      <c r="K306" t="str">
        <f>IF(tb_zakazchik[[#This Row],[Столбец1]]&lt;&gt;"",tb_baza[[#This Row],[Гос. номер]],"")</f>
        <v/>
      </c>
    </row>
    <row r="307" spans="1:11" x14ac:dyDescent="0.25">
      <c r="A307" s="17" t="s">
        <v>711</v>
      </c>
      <c r="B307" s="10" t="s">
        <v>194</v>
      </c>
      <c r="C307" s="13" t="s">
        <v>306</v>
      </c>
      <c r="D307" s="7" t="s">
        <v>1269</v>
      </c>
      <c r="E307" s="2" t="s">
        <v>1307</v>
      </c>
      <c r="F307" s="2" t="s">
        <v>3</v>
      </c>
      <c r="G307" s="31"/>
      <c r="I3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7" t="str">
        <f>IF(tb_zakazchik[[#This Row],[Столбец1]]&lt;&gt;"",SUM($I$2:I307),"")</f>
        <v/>
      </c>
      <c r="K307" t="str">
        <f>IF(tb_zakazchik[[#This Row],[Столбец1]]&lt;&gt;"",tb_baza[[#This Row],[Гос. номер]],"")</f>
        <v/>
      </c>
    </row>
    <row r="308" spans="1:11" x14ac:dyDescent="0.25">
      <c r="A308" s="17" t="s">
        <v>709</v>
      </c>
      <c r="B308" s="10" t="s">
        <v>194</v>
      </c>
      <c r="C308" s="13" t="s">
        <v>306</v>
      </c>
      <c r="D308" s="7" t="s">
        <v>1269</v>
      </c>
      <c r="E308" s="2" t="s">
        <v>1307</v>
      </c>
      <c r="F308" s="2" t="s">
        <v>6</v>
      </c>
      <c r="G308" s="31"/>
      <c r="I3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8" t="str">
        <f>IF(tb_zakazchik[[#This Row],[Столбец1]]&lt;&gt;"",SUM($I$2:I308),"")</f>
        <v/>
      </c>
      <c r="K308" t="str">
        <f>IF(tb_zakazchik[[#This Row],[Столбец1]]&lt;&gt;"",tb_baza[[#This Row],[Гос. номер]],"")</f>
        <v/>
      </c>
    </row>
    <row r="309" spans="1:11" x14ac:dyDescent="0.25">
      <c r="A309" s="17" t="s">
        <v>828</v>
      </c>
      <c r="B309" s="10" t="s">
        <v>194</v>
      </c>
      <c r="C309" s="13" t="s">
        <v>306</v>
      </c>
      <c r="D309" s="7" t="s">
        <v>1269</v>
      </c>
      <c r="E309" s="2" t="s">
        <v>1307</v>
      </c>
      <c r="F309" s="2" t="s">
        <v>3</v>
      </c>
      <c r="G309" s="31"/>
      <c r="I3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09" t="str">
        <f>IF(tb_zakazchik[[#This Row],[Столбец1]]&lt;&gt;"",SUM($I$2:I309),"")</f>
        <v/>
      </c>
      <c r="K309" t="str">
        <f>IF(tb_zakazchik[[#This Row],[Столбец1]]&lt;&gt;"",tb_baza[[#This Row],[Гос. номер]],"")</f>
        <v/>
      </c>
    </row>
    <row r="310" spans="1:11" x14ac:dyDescent="0.25">
      <c r="A310" s="17" t="s">
        <v>552</v>
      </c>
      <c r="B310" s="10" t="s">
        <v>59</v>
      </c>
      <c r="C310" s="13" t="s">
        <v>306</v>
      </c>
      <c r="D310" s="7" t="s">
        <v>1269</v>
      </c>
      <c r="E310" s="2" t="s">
        <v>1307</v>
      </c>
      <c r="F310" s="2" t="s">
        <v>3</v>
      </c>
      <c r="G310" s="31"/>
      <c r="I3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0" t="str">
        <f>IF(tb_zakazchik[[#This Row],[Столбец1]]&lt;&gt;"",SUM($I$2:I310),"")</f>
        <v/>
      </c>
      <c r="K310" t="str">
        <f>IF(tb_zakazchik[[#This Row],[Столбец1]]&lt;&gt;"",tb_baza[[#This Row],[Гос. номер]],"")</f>
        <v/>
      </c>
    </row>
    <row r="311" spans="1:11" x14ac:dyDescent="0.25">
      <c r="A311" s="17" t="s">
        <v>638</v>
      </c>
      <c r="B311" s="10" t="s">
        <v>59</v>
      </c>
      <c r="C311" s="13" t="s">
        <v>306</v>
      </c>
      <c r="D311" s="7" t="s">
        <v>1269</v>
      </c>
      <c r="E311" s="2" t="s">
        <v>1307</v>
      </c>
      <c r="F311" s="2" t="s">
        <v>3</v>
      </c>
      <c r="G311" s="31"/>
      <c r="I3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1" t="str">
        <f>IF(tb_zakazchik[[#This Row],[Столбец1]]&lt;&gt;"",SUM($I$2:I311),"")</f>
        <v/>
      </c>
      <c r="K311" t="str">
        <f>IF(tb_zakazchik[[#This Row],[Столбец1]]&lt;&gt;"",tb_baza[[#This Row],[Гос. номер]],"")</f>
        <v/>
      </c>
    </row>
    <row r="312" spans="1:11" x14ac:dyDescent="0.25">
      <c r="A312" s="17" t="s">
        <v>5</v>
      </c>
      <c r="B312" s="10" t="s">
        <v>4</v>
      </c>
      <c r="C312" s="13" t="s">
        <v>306</v>
      </c>
      <c r="D312" s="7" t="s">
        <v>1269</v>
      </c>
      <c r="E312" s="2" t="s">
        <v>1307</v>
      </c>
      <c r="F312" s="2" t="s">
        <v>6</v>
      </c>
      <c r="G312" s="31"/>
      <c r="I3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2" t="str">
        <f>IF(tb_zakazchik[[#This Row],[Столбец1]]&lt;&gt;"",SUM($I$2:I312),"")</f>
        <v/>
      </c>
      <c r="K312" t="str">
        <f>IF(tb_zakazchik[[#This Row],[Столбец1]]&lt;&gt;"",tb_baza[[#This Row],[Гос. номер]],"")</f>
        <v/>
      </c>
    </row>
    <row r="313" spans="1:11" x14ac:dyDescent="0.25">
      <c r="A313" s="17" t="s">
        <v>302</v>
      </c>
      <c r="B313" s="10" t="s">
        <v>59</v>
      </c>
      <c r="C313" s="13" t="s">
        <v>306</v>
      </c>
      <c r="D313" s="7" t="s">
        <v>1269</v>
      </c>
      <c r="E313" s="2" t="s">
        <v>1307</v>
      </c>
      <c r="F313" s="2" t="s">
        <v>13</v>
      </c>
      <c r="G313" s="31"/>
      <c r="I3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3" t="str">
        <f>IF(tb_zakazchik[[#This Row],[Столбец1]]&lt;&gt;"",SUM($I$2:I313),"")</f>
        <v/>
      </c>
      <c r="K313" t="str">
        <f>IF(tb_zakazchik[[#This Row],[Столбец1]]&lt;&gt;"",tb_baza[[#This Row],[Гос. номер]],"")</f>
        <v/>
      </c>
    </row>
    <row r="314" spans="1:11" x14ac:dyDescent="0.25">
      <c r="A314" s="17" t="s">
        <v>974</v>
      </c>
      <c r="B314" s="10" t="s">
        <v>59</v>
      </c>
      <c r="C314" s="13" t="s">
        <v>306</v>
      </c>
      <c r="D314" s="7" t="s">
        <v>1269</v>
      </c>
      <c r="E314" s="2" t="s">
        <v>1307</v>
      </c>
      <c r="F314" s="2" t="s">
        <v>3</v>
      </c>
      <c r="G314" s="31"/>
      <c r="I3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4" t="str">
        <f>IF(tb_zakazchik[[#This Row],[Столбец1]]&lt;&gt;"",SUM($I$2:I314),"")</f>
        <v/>
      </c>
      <c r="K314" t="str">
        <f>IF(tb_zakazchik[[#This Row],[Столбец1]]&lt;&gt;"",tb_baza[[#This Row],[Гос. номер]],"")</f>
        <v/>
      </c>
    </row>
    <row r="315" spans="1:11" x14ac:dyDescent="0.25">
      <c r="A315" s="17" t="s">
        <v>580</v>
      </c>
      <c r="B315" s="10" t="s">
        <v>59</v>
      </c>
      <c r="C315" s="13" t="s">
        <v>306</v>
      </c>
      <c r="D315" s="7" t="s">
        <v>1269</v>
      </c>
      <c r="E315" s="2" t="s">
        <v>1307</v>
      </c>
      <c r="F315" s="2" t="s">
        <v>3</v>
      </c>
      <c r="G315" s="31"/>
      <c r="I3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5" t="str">
        <f>IF(tb_zakazchik[[#This Row],[Столбец1]]&lt;&gt;"",SUM($I$2:I315),"")</f>
        <v/>
      </c>
      <c r="K315" t="str">
        <f>IF(tb_zakazchik[[#This Row],[Столбец1]]&lt;&gt;"",tb_baza[[#This Row],[Гос. номер]],"")</f>
        <v/>
      </c>
    </row>
    <row r="316" spans="1:11" x14ac:dyDescent="0.25">
      <c r="A316" s="17" t="s">
        <v>973</v>
      </c>
      <c r="B316" s="10" t="s">
        <v>59</v>
      </c>
      <c r="C316" s="13" t="s">
        <v>306</v>
      </c>
      <c r="D316" s="7" t="s">
        <v>1269</v>
      </c>
      <c r="E316" s="2" t="s">
        <v>1307</v>
      </c>
      <c r="F316" s="2" t="s">
        <v>3</v>
      </c>
      <c r="G316" s="31"/>
      <c r="I3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6" t="str">
        <f>IF(tb_zakazchik[[#This Row],[Столбец1]]&lt;&gt;"",SUM($I$2:I316),"")</f>
        <v/>
      </c>
      <c r="K316" t="str">
        <f>IF(tb_zakazchik[[#This Row],[Столбец1]]&lt;&gt;"",tb_baza[[#This Row],[Гос. номер]],"")</f>
        <v/>
      </c>
    </row>
    <row r="317" spans="1:11" x14ac:dyDescent="0.25">
      <c r="A317" s="17" t="s">
        <v>625</v>
      </c>
      <c r="B317" s="10" t="s">
        <v>59</v>
      </c>
      <c r="C317" s="13" t="s">
        <v>306</v>
      </c>
      <c r="D317" s="7" t="s">
        <v>1269</v>
      </c>
      <c r="E317" s="2" t="s">
        <v>1307</v>
      </c>
      <c r="F317" s="2" t="s">
        <v>6</v>
      </c>
      <c r="G317" s="31"/>
      <c r="I3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7" t="str">
        <f>IF(tb_zakazchik[[#This Row],[Столбец1]]&lt;&gt;"",SUM($I$2:I317),"")</f>
        <v/>
      </c>
      <c r="K317" t="str">
        <f>IF(tb_zakazchik[[#This Row],[Столбец1]]&lt;&gt;"",tb_baza[[#This Row],[Гос. номер]],"")</f>
        <v/>
      </c>
    </row>
    <row r="318" spans="1:11" x14ac:dyDescent="0.25">
      <c r="A318" s="17" t="s">
        <v>819</v>
      </c>
      <c r="B318" s="10" t="s">
        <v>59</v>
      </c>
      <c r="C318" s="13" t="s">
        <v>306</v>
      </c>
      <c r="D318" s="7" t="s">
        <v>1269</v>
      </c>
      <c r="E318" s="2" t="s">
        <v>1307</v>
      </c>
      <c r="F318" s="2" t="s">
        <v>3</v>
      </c>
      <c r="G318" s="31"/>
      <c r="I3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8" t="str">
        <f>IF(tb_zakazchik[[#This Row],[Столбец1]]&lt;&gt;"",SUM($I$2:I318),"")</f>
        <v/>
      </c>
      <c r="K318" t="str">
        <f>IF(tb_zakazchik[[#This Row],[Столбец1]]&lt;&gt;"",tb_baza[[#This Row],[Гос. номер]],"")</f>
        <v/>
      </c>
    </row>
    <row r="319" spans="1:11" x14ac:dyDescent="0.25">
      <c r="A319" s="17" t="s">
        <v>624</v>
      </c>
      <c r="B319" s="10" t="s">
        <v>59</v>
      </c>
      <c r="C319" s="13" t="s">
        <v>306</v>
      </c>
      <c r="D319" s="7" t="s">
        <v>1269</v>
      </c>
      <c r="E319" s="2" t="s">
        <v>1307</v>
      </c>
      <c r="F319" s="2" t="s">
        <v>3</v>
      </c>
      <c r="G319" s="31"/>
      <c r="I3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19" t="str">
        <f>IF(tb_zakazchik[[#This Row],[Столбец1]]&lt;&gt;"",SUM($I$2:I319),"")</f>
        <v/>
      </c>
      <c r="K319" t="str">
        <f>IF(tb_zakazchik[[#This Row],[Столбец1]]&lt;&gt;"",tb_baza[[#This Row],[Гос. номер]],"")</f>
        <v/>
      </c>
    </row>
    <row r="320" spans="1:11" x14ac:dyDescent="0.25">
      <c r="A320" s="17" t="s">
        <v>766</v>
      </c>
      <c r="B320" s="10" t="s">
        <v>194</v>
      </c>
      <c r="C320" s="13" t="s">
        <v>306</v>
      </c>
      <c r="D320" s="7" t="s">
        <v>1269</v>
      </c>
      <c r="E320" s="2" t="s">
        <v>1307</v>
      </c>
      <c r="F320" s="2" t="s">
        <v>3</v>
      </c>
      <c r="G320" s="31"/>
      <c r="I3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0" t="str">
        <f>IF(tb_zakazchik[[#This Row],[Столбец1]]&lt;&gt;"",SUM($I$2:I320),"")</f>
        <v/>
      </c>
      <c r="K320" t="str">
        <f>IF(tb_zakazchik[[#This Row],[Столбец1]]&lt;&gt;"",tb_baza[[#This Row],[Гос. номер]],"")</f>
        <v/>
      </c>
    </row>
    <row r="321" spans="1:11" x14ac:dyDescent="0.25">
      <c r="A321" s="17" t="s">
        <v>716</v>
      </c>
      <c r="B321" s="10" t="s">
        <v>194</v>
      </c>
      <c r="C321" s="13" t="s">
        <v>306</v>
      </c>
      <c r="D321" s="7" t="s">
        <v>1269</v>
      </c>
      <c r="E321" s="2" t="s">
        <v>1307</v>
      </c>
      <c r="F321" s="2" t="s">
        <v>3</v>
      </c>
      <c r="G321" s="31"/>
      <c r="I3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1" t="str">
        <f>IF(tb_zakazchik[[#This Row],[Столбец1]]&lt;&gt;"",SUM($I$2:I321),"")</f>
        <v/>
      </c>
      <c r="K321" t="str">
        <f>IF(tb_zakazchik[[#This Row],[Столбец1]]&lt;&gt;"",tb_baza[[#This Row],[Гос. номер]],"")</f>
        <v/>
      </c>
    </row>
    <row r="322" spans="1:11" x14ac:dyDescent="0.25">
      <c r="A322" s="17" t="s">
        <v>252</v>
      </c>
      <c r="B322" s="10" t="s">
        <v>251</v>
      </c>
      <c r="C322" s="13" t="s">
        <v>306</v>
      </c>
      <c r="D322" s="7" t="s">
        <v>1269</v>
      </c>
      <c r="E322" s="2" t="s">
        <v>1307</v>
      </c>
      <c r="F322" s="2" t="s">
        <v>3</v>
      </c>
      <c r="G322" s="31"/>
      <c r="I3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2" t="str">
        <f>IF(tb_zakazchik[[#This Row],[Столбец1]]&lt;&gt;"",SUM($I$2:I322),"")</f>
        <v/>
      </c>
      <c r="K322" t="str">
        <f>IF(tb_zakazchik[[#This Row],[Столбец1]]&lt;&gt;"",tb_baza[[#This Row],[Гос. номер]],"")</f>
        <v/>
      </c>
    </row>
    <row r="323" spans="1:11" x14ac:dyDescent="0.25">
      <c r="A323" s="17" t="s">
        <v>769</v>
      </c>
      <c r="B323" s="10" t="s">
        <v>194</v>
      </c>
      <c r="C323" s="13" t="s">
        <v>306</v>
      </c>
      <c r="D323" s="7" t="s">
        <v>1269</v>
      </c>
      <c r="E323" s="2" t="s">
        <v>1307</v>
      </c>
      <c r="F323" s="2" t="s">
        <v>3</v>
      </c>
      <c r="G323" s="31"/>
      <c r="I3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3" t="str">
        <f>IF(tb_zakazchik[[#This Row],[Столбец1]]&lt;&gt;"",SUM($I$2:I323),"")</f>
        <v/>
      </c>
      <c r="K323" t="str">
        <f>IF(tb_zakazchik[[#This Row],[Столбец1]]&lt;&gt;"",tb_baza[[#This Row],[Гос. номер]],"")</f>
        <v/>
      </c>
    </row>
    <row r="324" spans="1:11" x14ac:dyDescent="0.25">
      <c r="A324" s="17" t="s">
        <v>170</v>
      </c>
      <c r="B324" s="10" t="s">
        <v>59</v>
      </c>
      <c r="C324" s="13" t="s">
        <v>306</v>
      </c>
      <c r="D324" s="7" t="s">
        <v>1269</v>
      </c>
      <c r="E324" s="2" t="s">
        <v>1307</v>
      </c>
      <c r="F324" s="2" t="s">
        <v>6</v>
      </c>
      <c r="G324" s="31"/>
      <c r="I3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4" t="str">
        <f>IF(tb_zakazchik[[#This Row],[Столбец1]]&lt;&gt;"",SUM($I$2:I324),"")</f>
        <v/>
      </c>
      <c r="K324" t="str">
        <f>IF(tb_zakazchik[[#This Row],[Столбец1]]&lt;&gt;"",tb_baza[[#This Row],[Гос. номер]],"")</f>
        <v/>
      </c>
    </row>
    <row r="325" spans="1:11" x14ac:dyDescent="0.25">
      <c r="A325" s="17" t="s">
        <v>796</v>
      </c>
      <c r="B325" s="10" t="s">
        <v>194</v>
      </c>
      <c r="C325" s="13" t="s">
        <v>306</v>
      </c>
      <c r="D325" s="7" t="s">
        <v>1269</v>
      </c>
      <c r="E325" s="2" t="s">
        <v>1307</v>
      </c>
      <c r="F325" s="2" t="s">
        <v>3</v>
      </c>
      <c r="G325" s="31"/>
      <c r="I3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5" t="str">
        <f>IF(tb_zakazchik[[#This Row],[Столбец1]]&lt;&gt;"",SUM($I$2:I325),"")</f>
        <v/>
      </c>
      <c r="K325" t="str">
        <f>IF(tb_zakazchik[[#This Row],[Столбец1]]&lt;&gt;"",tb_baza[[#This Row],[Гос. номер]],"")</f>
        <v/>
      </c>
    </row>
    <row r="326" spans="1:11" x14ac:dyDescent="0.25">
      <c r="A326" s="17" t="s">
        <v>289</v>
      </c>
      <c r="B326" s="10" t="s">
        <v>59</v>
      </c>
      <c r="C326" s="13" t="s">
        <v>306</v>
      </c>
      <c r="D326" s="7" t="s">
        <v>1269</v>
      </c>
      <c r="E326" s="2" t="s">
        <v>1307</v>
      </c>
      <c r="F326" s="2" t="s">
        <v>3</v>
      </c>
      <c r="G326" s="31"/>
      <c r="I3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6" t="str">
        <f>IF(tb_zakazchik[[#This Row],[Столбец1]]&lt;&gt;"",SUM($I$2:I326),"")</f>
        <v/>
      </c>
      <c r="K326" t="str">
        <f>IF(tb_zakazchik[[#This Row],[Столбец1]]&lt;&gt;"",tb_baza[[#This Row],[Гос. номер]],"")</f>
        <v/>
      </c>
    </row>
    <row r="327" spans="1:11" x14ac:dyDescent="0.25">
      <c r="A327" s="17" t="s">
        <v>602</v>
      </c>
      <c r="B327" s="10" t="s">
        <v>59</v>
      </c>
      <c r="C327" s="13" t="s">
        <v>306</v>
      </c>
      <c r="D327" s="7" t="s">
        <v>1269</v>
      </c>
      <c r="E327" s="2" t="s">
        <v>1307</v>
      </c>
      <c r="F327" s="2" t="s">
        <v>3</v>
      </c>
      <c r="G327" s="31"/>
      <c r="I3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7" t="str">
        <f>IF(tb_zakazchik[[#This Row],[Столбец1]]&lt;&gt;"",SUM($I$2:I327),"")</f>
        <v/>
      </c>
      <c r="K327" t="str">
        <f>IF(tb_zakazchik[[#This Row],[Столбец1]]&lt;&gt;"",tb_baza[[#This Row],[Гос. номер]],"")</f>
        <v/>
      </c>
    </row>
    <row r="328" spans="1:11" x14ac:dyDescent="0.25">
      <c r="A328" s="17" t="s">
        <v>1139</v>
      </c>
      <c r="B328" s="10" t="s">
        <v>79</v>
      </c>
      <c r="C328" s="13" t="s">
        <v>306</v>
      </c>
      <c r="D328" s="7" t="s">
        <v>1269</v>
      </c>
      <c r="E328" s="2" t="s">
        <v>1307</v>
      </c>
      <c r="F328" s="2" t="s">
        <v>6</v>
      </c>
      <c r="G328" s="31"/>
      <c r="I3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8" t="str">
        <f>IF(tb_zakazchik[[#This Row],[Столбец1]]&lt;&gt;"",SUM($I$2:I328),"")</f>
        <v/>
      </c>
      <c r="K328" t="str">
        <f>IF(tb_zakazchik[[#This Row],[Столбец1]]&lt;&gt;"",tb_baza[[#This Row],[Гос. номер]],"")</f>
        <v/>
      </c>
    </row>
    <row r="329" spans="1:11" x14ac:dyDescent="0.25">
      <c r="A329" s="17" t="s">
        <v>1161</v>
      </c>
      <c r="B329" s="10" t="s">
        <v>79</v>
      </c>
      <c r="C329" s="13" t="s">
        <v>306</v>
      </c>
      <c r="D329" s="7" t="s">
        <v>1269</v>
      </c>
      <c r="E329" s="2" t="s">
        <v>1307</v>
      </c>
      <c r="F329" s="2" t="s">
        <v>3</v>
      </c>
      <c r="G329" s="31"/>
      <c r="I3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29" t="str">
        <f>IF(tb_zakazchik[[#This Row],[Столбец1]]&lt;&gt;"",SUM($I$2:I329),"")</f>
        <v/>
      </c>
      <c r="K329" t="str">
        <f>IF(tb_zakazchik[[#This Row],[Столбец1]]&lt;&gt;"",tb_baza[[#This Row],[Гос. номер]],"")</f>
        <v/>
      </c>
    </row>
    <row r="330" spans="1:11" x14ac:dyDescent="0.25">
      <c r="A330" s="17" t="s">
        <v>989</v>
      </c>
      <c r="B330" s="10" t="s">
        <v>4</v>
      </c>
      <c r="C330" s="13" t="s">
        <v>306</v>
      </c>
      <c r="D330" s="7" t="s">
        <v>1269</v>
      </c>
      <c r="E330" s="2" t="s">
        <v>1307</v>
      </c>
      <c r="F330" s="2" t="s">
        <v>13</v>
      </c>
      <c r="G330" s="31"/>
      <c r="I3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0" t="str">
        <f>IF(tb_zakazchik[[#This Row],[Столбец1]]&lt;&gt;"",SUM($I$2:I330),"")</f>
        <v/>
      </c>
      <c r="K330" t="str">
        <f>IF(tb_zakazchik[[#This Row],[Столбец1]]&lt;&gt;"",tb_baza[[#This Row],[Гос. номер]],"")</f>
        <v/>
      </c>
    </row>
    <row r="331" spans="1:11" x14ac:dyDescent="0.25">
      <c r="A331" s="17" t="s">
        <v>1112</v>
      </c>
      <c r="B331" s="10" t="s">
        <v>79</v>
      </c>
      <c r="C331" s="13" t="s">
        <v>306</v>
      </c>
      <c r="D331" s="7" t="s">
        <v>1269</v>
      </c>
      <c r="E331" s="2" t="s">
        <v>1307</v>
      </c>
      <c r="F331" s="2" t="s">
        <v>3</v>
      </c>
      <c r="G331" s="31"/>
      <c r="I3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1" t="str">
        <f>IF(tb_zakazchik[[#This Row],[Столбец1]]&lt;&gt;"",SUM($I$2:I331),"")</f>
        <v/>
      </c>
      <c r="K331" t="str">
        <f>IF(tb_zakazchik[[#This Row],[Столбец1]]&lt;&gt;"",tb_baza[[#This Row],[Гос. номер]],"")</f>
        <v/>
      </c>
    </row>
    <row r="332" spans="1:11" x14ac:dyDescent="0.25">
      <c r="A332" s="17" t="s">
        <v>1107</v>
      </c>
      <c r="B332" s="10" t="s">
        <v>79</v>
      </c>
      <c r="C332" s="13" t="s">
        <v>306</v>
      </c>
      <c r="D332" s="7" t="s">
        <v>1269</v>
      </c>
      <c r="E332" s="2" t="s">
        <v>1307</v>
      </c>
      <c r="F332" s="2" t="s">
        <v>3</v>
      </c>
      <c r="G332" s="31"/>
      <c r="I3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2" t="str">
        <f>IF(tb_zakazchik[[#This Row],[Столбец1]]&lt;&gt;"",SUM($I$2:I332),"")</f>
        <v/>
      </c>
      <c r="K332" t="str">
        <f>IF(tb_zakazchik[[#This Row],[Столбец1]]&lt;&gt;"",tb_baza[[#This Row],[Гос. номер]],"")</f>
        <v/>
      </c>
    </row>
    <row r="333" spans="1:11" x14ac:dyDescent="0.25">
      <c r="A333" s="17" t="s">
        <v>723</v>
      </c>
      <c r="B333" s="10" t="s">
        <v>194</v>
      </c>
      <c r="C333" s="13" t="s">
        <v>306</v>
      </c>
      <c r="D333" s="7" t="s">
        <v>1269</v>
      </c>
      <c r="E333" s="2" t="s">
        <v>1307</v>
      </c>
      <c r="F333" s="2" t="s">
        <v>13</v>
      </c>
      <c r="G333" s="31"/>
      <c r="I3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3" t="str">
        <f>IF(tb_zakazchik[[#This Row],[Столбец1]]&lt;&gt;"",SUM($I$2:I333),"")</f>
        <v/>
      </c>
      <c r="K333" t="str">
        <f>IF(tb_zakazchik[[#This Row],[Столбец1]]&lt;&gt;"",tb_baza[[#This Row],[Гос. номер]],"")</f>
        <v/>
      </c>
    </row>
    <row r="334" spans="1:11" x14ac:dyDescent="0.25">
      <c r="A334" s="17" t="s">
        <v>488</v>
      </c>
      <c r="B334" s="10" t="s">
        <v>487</v>
      </c>
      <c r="C334" s="13" t="s">
        <v>306</v>
      </c>
      <c r="D334" s="7" t="s">
        <v>1269</v>
      </c>
      <c r="E334" s="2" t="s">
        <v>1307</v>
      </c>
      <c r="F334" s="2" t="s">
        <v>6</v>
      </c>
      <c r="G334" s="31"/>
      <c r="I3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4" t="str">
        <f>IF(tb_zakazchik[[#This Row],[Столбец1]]&lt;&gt;"",SUM($I$2:I334),"")</f>
        <v/>
      </c>
      <c r="K334" t="str">
        <f>IF(tb_zakazchik[[#This Row],[Столбец1]]&lt;&gt;"",tb_baza[[#This Row],[Гос. номер]],"")</f>
        <v/>
      </c>
    </row>
    <row r="335" spans="1:11" x14ac:dyDescent="0.25">
      <c r="A335" s="17" t="s">
        <v>88</v>
      </c>
      <c r="B335" s="10" t="s">
        <v>4</v>
      </c>
      <c r="C335" s="13" t="s">
        <v>306</v>
      </c>
      <c r="D335" s="7" t="s">
        <v>1269</v>
      </c>
      <c r="E335" s="2" t="s">
        <v>1307</v>
      </c>
      <c r="F335" s="2" t="s">
        <v>3</v>
      </c>
      <c r="G335" s="31"/>
      <c r="I3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5" t="str">
        <f>IF(tb_zakazchik[[#This Row],[Столбец1]]&lt;&gt;"",SUM($I$2:I335),"")</f>
        <v/>
      </c>
      <c r="K335" t="str">
        <f>IF(tb_zakazchik[[#This Row],[Столбец1]]&lt;&gt;"",tb_baza[[#This Row],[Гос. номер]],"")</f>
        <v/>
      </c>
    </row>
    <row r="336" spans="1:11" x14ac:dyDescent="0.25">
      <c r="A336" s="17" t="s">
        <v>782</v>
      </c>
      <c r="B336" s="10" t="s">
        <v>4</v>
      </c>
      <c r="C336" s="13" t="s">
        <v>306</v>
      </c>
      <c r="D336" s="7" t="s">
        <v>1269</v>
      </c>
      <c r="E336" s="2" t="s">
        <v>1307</v>
      </c>
      <c r="F336" s="2" t="s">
        <v>3</v>
      </c>
      <c r="G336" s="31"/>
      <c r="I3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6" t="str">
        <f>IF(tb_zakazchik[[#This Row],[Столбец1]]&lt;&gt;"",SUM($I$2:I336),"")</f>
        <v/>
      </c>
      <c r="K336" t="str">
        <f>IF(tb_zakazchik[[#This Row],[Столбец1]]&lt;&gt;"",tb_baza[[#This Row],[Гос. номер]],"")</f>
        <v/>
      </c>
    </row>
    <row r="337" spans="1:11" x14ac:dyDescent="0.25">
      <c r="A337" s="17" t="s">
        <v>581</v>
      </c>
      <c r="B337" s="10" t="s">
        <v>59</v>
      </c>
      <c r="C337" s="13" t="s">
        <v>306</v>
      </c>
      <c r="D337" s="7" t="s">
        <v>1269</v>
      </c>
      <c r="E337" s="2" t="s">
        <v>1307</v>
      </c>
      <c r="F337" s="2" t="s">
        <v>6</v>
      </c>
      <c r="G337" s="31"/>
      <c r="I3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7" t="str">
        <f>IF(tb_zakazchik[[#This Row],[Столбец1]]&lt;&gt;"",SUM($I$2:I337),"")</f>
        <v/>
      </c>
      <c r="K337" t="str">
        <f>IF(tb_zakazchik[[#This Row],[Столбец1]]&lt;&gt;"",tb_baza[[#This Row],[Гос. номер]],"")</f>
        <v/>
      </c>
    </row>
    <row r="338" spans="1:11" x14ac:dyDescent="0.25">
      <c r="A338" s="17" t="s">
        <v>717</v>
      </c>
      <c r="B338" s="10" t="s">
        <v>251</v>
      </c>
      <c r="C338" s="13" t="s">
        <v>306</v>
      </c>
      <c r="D338" s="7" t="s">
        <v>1269</v>
      </c>
      <c r="E338" s="2" t="s">
        <v>1307</v>
      </c>
      <c r="F338" s="2" t="s">
        <v>3</v>
      </c>
      <c r="G338" s="31"/>
      <c r="I3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8" t="str">
        <f>IF(tb_zakazchik[[#This Row],[Столбец1]]&lt;&gt;"",SUM($I$2:I338),"")</f>
        <v/>
      </c>
      <c r="K338" t="str">
        <f>IF(tb_zakazchik[[#This Row],[Столбец1]]&lt;&gt;"",tb_baza[[#This Row],[Гос. номер]],"")</f>
        <v/>
      </c>
    </row>
    <row r="339" spans="1:11" x14ac:dyDescent="0.25">
      <c r="A339" s="17" t="s">
        <v>171</v>
      </c>
      <c r="B339" s="10" t="s">
        <v>59</v>
      </c>
      <c r="C339" s="13" t="s">
        <v>306</v>
      </c>
      <c r="D339" s="7" t="s">
        <v>1269</v>
      </c>
      <c r="E339" s="2" t="s">
        <v>1307</v>
      </c>
      <c r="F339" s="2" t="s">
        <v>3</v>
      </c>
      <c r="G339" s="31"/>
      <c r="I3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39" t="str">
        <f>IF(tb_zakazchik[[#This Row],[Столбец1]]&lt;&gt;"",SUM($I$2:I339),"")</f>
        <v/>
      </c>
      <c r="K339" t="str">
        <f>IF(tb_zakazchik[[#This Row],[Столбец1]]&lt;&gt;"",tb_baza[[#This Row],[Гос. номер]],"")</f>
        <v/>
      </c>
    </row>
    <row r="340" spans="1:11" x14ac:dyDescent="0.25">
      <c r="A340" s="17" t="s">
        <v>710</v>
      </c>
      <c r="B340" s="10" t="s">
        <v>194</v>
      </c>
      <c r="C340" s="13" t="s">
        <v>306</v>
      </c>
      <c r="D340" s="7" t="s">
        <v>1269</v>
      </c>
      <c r="E340" s="2" t="s">
        <v>1307</v>
      </c>
      <c r="F340" s="2" t="s">
        <v>3</v>
      </c>
      <c r="G340" s="31"/>
      <c r="I3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0" t="str">
        <f>IF(tb_zakazchik[[#This Row],[Столбец1]]&lt;&gt;"",SUM($I$2:I340),"")</f>
        <v/>
      </c>
      <c r="K340" t="str">
        <f>IF(tb_zakazchik[[#This Row],[Столбец1]]&lt;&gt;"",tb_baza[[#This Row],[Гос. номер]],"")</f>
        <v/>
      </c>
    </row>
    <row r="341" spans="1:11" x14ac:dyDescent="0.25">
      <c r="A341" s="17" t="s">
        <v>697</v>
      </c>
      <c r="B341" s="10" t="s">
        <v>194</v>
      </c>
      <c r="C341" s="13" t="s">
        <v>306</v>
      </c>
      <c r="D341" s="7" t="s">
        <v>1269</v>
      </c>
      <c r="E341" s="2" t="s">
        <v>1307</v>
      </c>
      <c r="F341" s="2" t="s">
        <v>3</v>
      </c>
      <c r="G341" s="31"/>
      <c r="I3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1" t="str">
        <f>IF(tb_zakazchik[[#This Row],[Столбец1]]&lt;&gt;"",SUM($I$2:I341),"")</f>
        <v/>
      </c>
      <c r="K341" t="str">
        <f>IF(tb_zakazchik[[#This Row],[Столбец1]]&lt;&gt;"",tb_baza[[#This Row],[Гос. номер]],"")</f>
        <v/>
      </c>
    </row>
    <row r="342" spans="1:11" x14ac:dyDescent="0.25">
      <c r="A342" s="17" t="s">
        <v>1151</v>
      </c>
      <c r="B342" s="10" t="s">
        <v>79</v>
      </c>
      <c r="C342" s="13" t="s">
        <v>306</v>
      </c>
      <c r="D342" s="7" t="s">
        <v>1269</v>
      </c>
      <c r="E342" s="2" t="s">
        <v>1307</v>
      </c>
      <c r="F342" s="2" t="s">
        <v>3</v>
      </c>
      <c r="G342" s="31"/>
      <c r="I3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2" t="str">
        <f>IF(tb_zakazchik[[#This Row],[Столбец1]]&lt;&gt;"",SUM($I$2:I342),"")</f>
        <v/>
      </c>
      <c r="K342" t="str">
        <f>IF(tb_zakazchik[[#This Row],[Столбец1]]&lt;&gt;"",tb_baza[[#This Row],[Гос. номер]],"")</f>
        <v/>
      </c>
    </row>
    <row r="343" spans="1:11" x14ac:dyDescent="0.25">
      <c r="A343" s="17" t="s">
        <v>1158</v>
      </c>
      <c r="B343" s="10" t="s">
        <v>79</v>
      </c>
      <c r="C343" s="13" t="s">
        <v>306</v>
      </c>
      <c r="D343" s="7" t="s">
        <v>1269</v>
      </c>
      <c r="E343" s="2" t="s">
        <v>1307</v>
      </c>
      <c r="F343" s="2" t="s">
        <v>3</v>
      </c>
      <c r="G343" s="31"/>
      <c r="I3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3" t="str">
        <f>IF(tb_zakazchik[[#This Row],[Столбец1]]&lt;&gt;"",SUM($I$2:I343),"")</f>
        <v/>
      </c>
      <c r="K343" t="str">
        <f>IF(tb_zakazchik[[#This Row],[Столбец1]]&lt;&gt;"",tb_baza[[#This Row],[Гос. номер]],"")</f>
        <v/>
      </c>
    </row>
    <row r="344" spans="1:11" x14ac:dyDescent="0.25">
      <c r="A344" s="17" t="s">
        <v>523</v>
      </c>
      <c r="B344" s="10" t="s">
        <v>522</v>
      </c>
      <c r="C344" s="13" t="s">
        <v>306</v>
      </c>
      <c r="D344" s="7" t="s">
        <v>1269</v>
      </c>
      <c r="E344" s="2" t="s">
        <v>2</v>
      </c>
      <c r="F344" s="2" t="s">
        <v>6</v>
      </c>
      <c r="G344" s="31"/>
      <c r="I3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4" t="str">
        <f>IF(tb_zakazchik[[#This Row],[Столбец1]]&lt;&gt;"",SUM($I$2:I344),"")</f>
        <v/>
      </c>
      <c r="K344" t="str">
        <f>IF(tb_zakazchik[[#This Row],[Столбец1]]&lt;&gt;"",tb_baza[[#This Row],[Гос. номер]],"")</f>
        <v/>
      </c>
    </row>
    <row r="345" spans="1:11" x14ac:dyDescent="0.25">
      <c r="A345" s="17" t="s">
        <v>892</v>
      </c>
      <c r="B345" s="10" t="s">
        <v>45</v>
      </c>
      <c r="C345" s="13" t="s">
        <v>306</v>
      </c>
      <c r="D345" s="7" t="s">
        <v>1269</v>
      </c>
      <c r="E345" s="2" t="s">
        <v>12</v>
      </c>
      <c r="F345" s="2" t="s">
        <v>13</v>
      </c>
      <c r="G345" s="31"/>
      <c r="I3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5" t="str">
        <f>IF(tb_zakazchik[[#This Row],[Столбец1]]&lt;&gt;"",SUM($I$2:I345),"")</f>
        <v/>
      </c>
      <c r="K345" t="str">
        <f>IF(tb_zakazchik[[#This Row],[Столбец1]]&lt;&gt;"",tb_baza[[#This Row],[Гос. номер]],"")</f>
        <v/>
      </c>
    </row>
    <row r="346" spans="1:11" x14ac:dyDescent="0.25">
      <c r="A346" s="17" t="s">
        <v>587</v>
      </c>
      <c r="B346" s="10" t="s">
        <v>63</v>
      </c>
      <c r="C346" s="13" t="s">
        <v>306</v>
      </c>
      <c r="D346" s="7" t="s">
        <v>1269</v>
      </c>
      <c r="E346" s="2" t="s">
        <v>12</v>
      </c>
      <c r="F346" s="2" t="s">
        <v>13</v>
      </c>
      <c r="G346" s="31"/>
      <c r="I3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6" t="str">
        <f>IF(tb_zakazchik[[#This Row],[Столбец1]]&lt;&gt;"",SUM($I$2:I346),"")</f>
        <v/>
      </c>
      <c r="K346" t="str">
        <f>IF(tb_zakazchik[[#This Row],[Столбец1]]&lt;&gt;"",tb_baza[[#This Row],[Гос. номер]],"")</f>
        <v/>
      </c>
    </row>
    <row r="347" spans="1:11" x14ac:dyDescent="0.25">
      <c r="A347" s="17" t="s">
        <v>626</v>
      </c>
      <c r="B347" s="10" t="s">
        <v>59</v>
      </c>
      <c r="C347" s="13" t="s">
        <v>306</v>
      </c>
      <c r="D347" s="7" t="s">
        <v>1269</v>
      </c>
      <c r="E347" s="2" t="s">
        <v>12</v>
      </c>
      <c r="F347" s="2" t="s">
        <v>13</v>
      </c>
      <c r="G347" s="31"/>
      <c r="I3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7" t="str">
        <f>IF(tb_zakazchik[[#This Row],[Столбец1]]&lt;&gt;"",SUM($I$2:I347),"")</f>
        <v/>
      </c>
      <c r="K347" t="str">
        <f>IF(tb_zakazchik[[#This Row],[Столбец1]]&lt;&gt;"",tb_baza[[#This Row],[Гос. номер]],"")</f>
        <v/>
      </c>
    </row>
    <row r="348" spans="1:11" x14ac:dyDescent="0.25">
      <c r="A348" s="17" t="s">
        <v>949</v>
      </c>
      <c r="B348" s="10" t="s">
        <v>4</v>
      </c>
      <c r="C348" s="13" t="s">
        <v>306</v>
      </c>
      <c r="D348" s="7" t="s">
        <v>1269</v>
      </c>
      <c r="E348" s="2" t="s">
        <v>12</v>
      </c>
      <c r="F348" s="2" t="s">
        <v>13</v>
      </c>
      <c r="G348" s="31"/>
      <c r="I3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8" t="str">
        <f>IF(tb_zakazchik[[#This Row],[Столбец1]]&lt;&gt;"",SUM($I$2:I348),"")</f>
        <v/>
      </c>
      <c r="K348" t="str">
        <f>IF(tb_zakazchik[[#This Row],[Столбец1]]&lt;&gt;"",tb_baza[[#This Row],[Гос. номер]],"")</f>
        <v/>
      </c>
    </row>
    <row r="349" spans="1:11" x14ac:dyDescent="0.25">
      <c r="A349" s="17" t="s">
        <v>785</v>
      </c>
      <c r="B349" s="10" t="s">
        <v>4</v>
      </c>
      <c r="C349" s="13" t="s">
        <v>306</v>
      </c>
      <c r="D349" s="7" t="s">
        <v>1269</v>
      </c>
      <c r="E349" s="2" t="s">
        <v>12</v>
      </c>
      <c r="F349" s="2" t="s">
        <v>13</v>
      </c>
      <c r="G349" s="31"/>
      <c r="I3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49" t="str">
        <f>IF(tb_zakazchik[[#This Row],[Столбец1]]&lt;&gt;"",SUM($I$2:I349),"")</f>
        <v/>
      </c>
      <c r="K349" t="str">
        <f>IF(tb_zakazchik[[#This Row],[Столбец1]]&lt;&gt;"",tb_baza[[#This Row],[Гос. номер]],"")</f>
        <v/>
      </c>
    </row>
    <row r="350" spans="1:11" x14ac:dyDescent="0.25">
      <c r="A350" s="17" t="s">
        <v>981</v>
      </c>
      <c r="B350" s="10" t="s">
        <v>4</v>
      </c>
      <c r="C350" s="13" t="s">
        <v>306</v>
      </c>
      <c r="D350" s="7" t="s">
        <v>1269</v>
      </c>
      <c r="E350" s="2" t="s">
        <v>12</v>
      </c>
      <c r="F350" s="2" t="s">
        <v>13</v>
      </c>
      <c r="G350" s="31"/>
      <c r="I3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0" t="str">
        <f>IF(tb_zakazchik[[#This Row],[Столбец1]]&lt;&gt;"",SUM($I$2:I350),"")</f>
        <v/>
      </c>
      <c r="K350" t="str">
        <f>IF(tb_zakazchik[[#This Row],[Столбец1]]&lt;&gt;"",tb_baza[[#This Row],[Гос. номер]],"")</f>
        <v/>
      </c>
    </row>
    <row r="351" spans="1:11" x14ac:dyDescent="0.25">
      <c r="A351" s="17" t="s">
        <v>969</v>
      </c>
      <c r="B351" s="10" t="s">
        <v>4</v>
      </c>
      <c r="C351" s="13" t="s">
        <v>306</v>
      </c>
      <c r="D351" s="7" t="s">
        <v>1269</v>
      </c>
      <c r="E351" s="2" t="s">
        <v>12</v>
      </c>
      <c r="F351" s="2" t="s">
        <v>13</v>
      </c>
      <c r="G351" s="31"/>
      <c r="I3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1" t="str">
        <f>IF(tb_zakazchik[[#This Row],[Столбец1]]&lt;&gt;"",SUM($I$2:I351),"")</f>
        <v/>
      </c>
      <c r="K351" t="str">
        <f>IF(tb_zakazchik[[#This Row],[Столбец1]]&lt;&gt;"",tb_baza[[#This Row],[Гос. номер]],"")</f>
        <v/>
      </c>
    </row>
    <row r="352" spans="1:11" x14ac:dyDescent="0.25">
      <c r="A352" s="17" t="s">
        <v>1009</v>
      </c>
      <c r="B352" s="10" t="s">
        <v>4</v>
      </c>
      <c r="C352" s="13" t="s">
        <v>306</v>
      </c>
      <c r="D352" s="7" t="s">
        <v>1269</v>
      </c>
      <c r="E352" s="2" t="s">
        <v>12</v>
      </c>
      <c r="F352" s="2" t="s">
        <v>13</v>
      </c>
      <c r="G352" s="31"/>
      <c r="I3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2" t="str">
        <f>IF(tb_zakazchik[[#This Row],[Столбец1]]&lt;&gt;"",SUM($I$2:I352),"")</f>
        <v/>
      </c>
      <c r="K352" t="str">
        <f>IF(tb_zakazchik[[#This Row],[Столбец1]]&lt;&gt;"",tb_baza[[#This Row],[Гос. номер]],"")</f>
        <v/>
      </c>
    </row>
    <row r="353" spans="1:11" x14ac:dyDescent="0.25">
      <c r="A353" s="17" t="s">
        <v>935</v>
      </c>
      <c r="B353" s="10" t="s">
        <v>4</v>
      </c>
      <c r="C353" s="13" t="s">
        <v>306</v>
      </c>
      <c r="D353" s="7" t="s">
        <v>1269</v>
      </c>
      <c r="E353" s="2" t="s">
        <v>12</v>
      </c>
      <c r="F353" s="2" t="s">
        <v>13</v>
      </c>
      <c r="G353" s="31"/>
      <c r="I3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3" t="str">
        <f>IF(tb_zakazchik[[#This Row],[Столбец1]]&lt;&gt;"",SUM($I$2:I353),"")</f>
        <v/>
      </c>
      <c r="K353" t="str">
        <f>IF(tb_zakazchik[[#This Row],[Столбец1]]&lt;&gt;"",tb_baza[[#This Row],[Гос. номер]],"")</f>
        <v/>
      </c>
    </row>
    <row r="354" spans="1:11" x14ac:dyDescent="0.25">
      <c r="A354" s="17" t="s">
        <v>934</v>
      </c>
      <c r="B354" s="10" t="s">
        <v>4</v>
      </c>
      <c r="C354" s="13" t="s">
        <v>306</v>
      </c>
      <c r="D354" s="7" t="s">
        <v>1269</v>
      </c>
      <c r="E354" s="2" t="s">
        <v>12</v>
      </c>
      <c r="F354" s="2" t="s">
        <v>13</v>
      </c>
      <c r="G354" s="31"/>
      <c r="I3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4" t="str">
        <f>IF(tb_zakazchik[[#This Row],[Столбец1]]&lt;&gt;"",SUM($I$2:I354),"")</f>
        <v/>
      </c>
      <c r="K354" t="str">
        <f>IF(tb_zakazchik[[#This Row],[Столбец1]]&lt;&gt;"",tb_baza[[#This Row],[Гос. номер]],"")</f>
        <v/>
      </c>
    </row>
    <row r="355" spans="1:11" x14ac:dyDescent="0.25">
      <c r="A355" s="17" t="s">
        <v>933</v>
      </c>
      <c r="B355" s="10" t="s">
        <v>4</v>
      </c>
      <c r="C355" s="13" t="s">
        <v>306</v>
      </c>
      <c r="D355" s="7" t="s">
        <v>1269</v>
      </c>
      <c r="E355" s="2" t="s">
        <v>12</v>
      </c>
      <c r="F355" s="2" t="s">
        <v>13</v>
      </c>
      <c r="G355" s="31"/>
      <c r="I3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5" t="str">
        <f>IF(tb_zakazchik[[#This Row],[Столбец1]]&lt;&gt;"",SUM($I$2:I355),"")</f>
        <v/>
      </c>
      <c r="K355" t="str">
        <f>IF(tb_zakazchik[[#This Row],[Столбец1]]&lt;&gt;"",tb_baza[[#This Row],[Гос. номер]],"")</f>
        <v/>
      </c>
    </row>
    <row r="356" spans="1:11" x14ac:dyDescent="0.25">
      <c r="A356" s="17" t="s">
        <v>968</v>
      </c>
      <c r="B356" s="10" t="s">
        <v>4</v>
      </c>
      <c r="C356" s="13" t="s">
        <v>306</v>
      </c>
      <c r="D356" s="7" t="s">
        <v>1269</v>
      </c>
      <c r="E356" s="2" t="s">
        <v>12</v>
      </c>
      <c r="F356" s="2" t="s">
        <v>13</v>
      </c>
      <c r="G356" s="31"/>
      <c r="I3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6" t="str">
        <f>IF(tb_zakazchik[[#This Row],[Столбец1]]&lt;&gt;"",SUM($I$2:I356),"")</f>
        <v/>
      </c>
      <c r="K356" t="str">
        <f>IF(tb_zakazchik[[#This Row],[Столбец1]]&lt;&gt;"",tb_baza[[#This Row],[Гос. номер]],"")</f>
        <v/>
      </c>
    </row>
    <row r="357" spans="1:11" x14ac:dyDescent="0.25">
      <c r="A357" s="17" t="s">
        <v>476</v>
      </c>
      <c r="B357" s="10" t="s">
        <v>92</v>
      </c>
      <c r="C357" s="13" t="s">
        <v>306</v>
      </c>
      <c r="D357" s="21" t="s">
        <v>1278</v>
      </c>
      <c r="E357" s="2" t="s">
        <v>1307</v>
      </c>
      <c r="F357" s="2" t="s">
        <v>13</v>
      </c>
      <c r="G357" s="31"/>
      <c r="I3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7" t="str">
        <f>IF(tb_zakazchik[[#This Row],[Столбец1]]&lt;&gt;"",SUM($I$2:I357),"")</f>
        <v/>
      </c>
      <c r="K357" t="str">
        <f>IF(tb_zakazchik[[#This Row],[Столбец1]]&lt;&gt;"",tb_baza[[#This Row],[Гос. номер]],"")</f>
        <v/>
      </c>
    </row>
    <row r="358" spans="1:11" x14ac:dyDescent="0.25">
      <c r="A358" s="17" t="s">
        <v>213</v>
      </c>
      <c r="B358" s="10" t="s">
        <v>212</v>
      </c>
      <c r="C358" s="13" t="s">
        <v>306</v>
      </c>
      <c r="D358" s="21" t="s">
        <v>1278</v>
      </c>
      <c r="E358" s="2" t="s">
        <v>1307</v>
      </c>
      <c r="F358" s="2" t="s">
        <v>13</v>
      </c>
      <c r="G358" s="31"/>
      <c r="I3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8" t="str">
        <f>IF(tb_zakazchik[[#This Row],[Столбец1]]&lt;&gt;"",SUM($I$2:I358),"")</f>
        <v/>
      </c>
      <c r="K358" t="str">
        <f>IF(tb_zakazchik[[#This Row],[Столбец1]]&lt;&gt;"",tb_baza[[#This Row],[Гос. номер]],"")</f>
        <v/>
      </c>
    </row>
    <row r="359" spans="1:11" x14ac:dyDescent="0.25">
      <c r="A359" s="17" t="s">
        <v>15</v>
      </c>
      <c r="B359" s="10" t="s">
        <v>14</v>
      </c>
      <c r="C359" s="13" t="s">
        <v>306</v>
      </c>
      <c r="D359" s="7" t="s">
        <v>1303</v>
      </c>
      <c r="E359" s="2" t="s">
        <v>1307</v>
      </c>
      <c r="F359" s="2" t="s">
        <v>3</v>
      </c>
      <c r="G359" s="31"/>
      <c r="I3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59" t="str">
        <f>IF(tb_zakazchik[[#This Row],[Столбец1]]&lt;&gt;"",SUM($I$2:I359),"")</f>
        <v/>
      </c>
      <c r="K359" t="str">
        <f>IF(tb_zakazchik[[#This Row],[Столбец1]]&lt;&gt;"",tb_baza[[#This Row],[Гос. номер]],"")</f>
        <v/>
      </c>
    </row>
    <row r="360" spans="1:11" x14ac:dyDescent="0.25">
      <c r="A360" s="17" t="s">
        <v>494</v>
      </c>
      <c r="B360" s="10" t="s">
        <v>492</v>
      </c>
      <c r="C360" s="13" t="s">
        <v>306</v>
      </c>
      <c r="D360" s="7" t="s">
        <v>1303</v>
      </c>
      <c r="E360" s="2" t="s">
        <v>1307</v>
      </c>
      <c r="F360" s="2" t="s">
        <v>3</v>
      </c>
      <c r="G360" s="31"/>
      <c r="I3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0" t="str">
        <f>IF(tb_zakazchik[[#This Row],[Столбец1]]&lt;&gt;"",SUM($I$2:I360),"")</f>
        <v/>
      </c>
      <c r="K360" t="str">
        <f>IF(tb_zakazchik[[#This Row],[Столбец1]]&lt;&gt;"",tb_baza[[#This Row],[Гос. номер]],"")</f>
        <v/>
      </c>
    </row>
    <row r="361" spans="1:11" x14ac:dyDescent="0.25">
      <c r="A361" s="17" t="s">
        <v>106</v>
      </c>
      <c r="B361" s="10" t="s">
        <v>14</v>
      </c>
      <c r="C361" s="13" t="s">
        <v>306</v>
      </c>
      <c r="D361" s="7" t="s">
        <v>1303</v>
      </c>
      <c r="E361" s="2" t="s">
        <v>1307</v>
      </c>
      <c r="F361" s="2" t="s">
        <v>3</v>
      </c>
      <c r="G361" s="31"/>
      <c r="I3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1" t="str">
        <f>IF(tb_zakazchik[[#This Row],[Столбец1]]&lt;&gt;"",SUM($I$2:I361),"")</f>
        <v/>
      </c>
      <c r="K361" t="str">
        <f>IF(tb_zakazchik[[#This Row],[Столбец1]]&lt;&gt;"",tb_baza[[#This Row],[Гос. номер]],"")</f>
        <v/>
      </c>
    </row>
    <row r="362" spans="1:11" x14ac:dyDescent="0.25">
      <c r="A362" s="17" t="s">
        <v>667</v>
      </c>
      <c r="B362" s="10" t="s">
        <v>14</v>
      </c>
      <c r="C362" s="13" t="s">
        <v>306</v>
      </c>
      <c r="D362" s="7" t="s">
        <v>1303</v>
      </c>
      <c r="E362" s="2" t="s">
        <v>1307</v>
      </c>
      <c r="F362" s="2" t="s">
        <v>13</v>
      </c>
      <c r="G362" s="31"/>
      <c r="I3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2" t="str">
        <f>IF(tb_zakazchik[[#This Row],[Столбец1]]&lt;&gt;"",SUM($I$2:I362),"")</f>
        <v/>
      </c>
      <c r="K362" t="str">
        <f>IF(tb_zakazchik[[#This Row],[Столбец1]]&lt;&gt;"",tb_baza[[#This Row],[Гос. номер]],"")</f>
        <v/>
      </c>
    </row>
    <row r="363" spans="1:11" x14ac:dyDescent="0.25">
      <c r="A363" s="17" t="s">
        <v>449</v>
      </c>
      <c r="B363" s="10" t="s">
        <v>113</v>
      </c>
      <c r="C363" s="13" t="s">
        <v>306</v>
      </c>
      <c r="D363" s="7" t="s">
        <v>1275</v>
      </c>
      <c r="E363" s="2" t="s">
        <v>1307</v>
      </c>
      <c r="F363" s="2" t="s">
        <v>13</v>
      </c>
      <c r="G363" s="31"/>
      <c r="I3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3" t="str">
        <f>IF(tb_zakazchik[[#This Row],[Столбец1]]&lt;&gt;"",SUM($I$2:I363),"")</f>
        <v/>
      </c>
      <c r="K363" t="str">
        <f>IF(tb_zakazchik[[#This Row],[Столбец1]]&lt;&gt;"",tb_baza[[#This Row],[Гос. номер]],"")</f>
        <v/>
      </c>
    </row>
    <row r="364" spans="1:11" x14ac:dyDescent="0.25">
      <c r="A364" s="17" t="s">
        <v>114</v>
      </c>
      <c r="B364" s="10" t="s">
        <v>113</v>
      </c>
      <c r="C364" s="13" t="s">
        <v>306</v>
      </c>
      <c r="D364" s="7" t="s">
        <v>1275</v>
      </c>
      <c r="E364" s="2" t="s">
        <v>1307</v>
      </c>
      <c r="F364" s="2" t="s">
        <v>6</v>
      </c>
      <c r="G364" s="31"/>
      <c r="I3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4" t="str">
        <f>IF(tb_zakazchik[[#This Row],[Столбец1]]&lt;&gt;"",SUM($I$2:I364),"")</f>
        <v/>
      </c>
      <c r="K364" t="str">
        <f>IF(tb_zakazchik[[#This Row],[Столбец1]]&lt;&gt;"",tb_baza[[#This Row],[Гос. номер]],"")</f>
        <v/>
      </c>
    </row>
    <row r="365" spans="1:11" x14ac:dyDescent="0.25">
      <c r="A365" s="17" t="s">
        <v>757</v>
      </c>
      <c r="B365" s="10" t="s">
        <v>754</v>
      </c>
      <c r="C365" s="13" t="s">
        <v>306</v>
      </c>
      <c r="D365" s="7" t="s">
        <v>1275</v>
      </c>
      <c r="E365" s="2" t="s">
        <v>12</v>
      </c>
      <c r="F365" s="2" t="s">
        <v>13</v>
      </c>
      <c r="G365" s="31"/>
      <c r="I3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5" t="str">
        <f>IF(tb_zakazchik[[#This Row],[Столбец1]]&lt;&gt;"",SUM($I$2:I365),"")</f>
        <v/>
      </c>
      <c r="K365" t="str">
        <f>IF(tb_zakazchik[[#This Row],[Столбец1]]&lt;&gt;"",tb_baza[[#This Row],[Гос. номер]],"")</f>
        <v/>
      </c>
    </row>
    <row r="366" spans="1:11" x14ac:dyDescent="0.25">
      <c r="A366" s="17" t="s">
        <v>755</v>
      </c>
      <c r="B366" s="10" t="s">
        <v>754</v>
      </c>
      <c r="C366" s="13" t="s">
        <v>306</v>
      </c>
      <c r="D366" s="7" t="s">
        <v>1275</v>
      </c>
      <c r="E366" s="2" t="s">
        <v>12</v>
      </c>
      <c r="F366" s="2" t="s">
        <v>3</v>
      </c>
      <c r="G366" s="31"/>
      <c r="I3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6" t="str">
        <f>IF(tb_zakazchik[[#This Row],[Столбец1]]&lt;&gt;"",SUM($I$2:I366),"")</f>
        <v/>
      </c>
      <c r="K366" t="str">
        <f>IF(tb_zakazchik[[#This Row],[Столбец1]]&lt;&gt;"",tb_baza[[#This Row],[Гос. номер]],"")</f>
        <v/>
      </c>
    </row>
    <row r="367" spans="1:11" x14ac:dyDescent="0.25">
      <c r="A367" s="17" t="s">
        <v>814</v>
      </c>
      <c r="B367" s="10" t="s">
        <v>813</v>
      </c>
      <c r="C367" s="13" t="s">
        <v>306</v>
      </c>
      <c r="D367" s="7" t="s">
        <v>1285</v>
      </c>
      <c r="E367" s="2" t="s">
        <v>1307</v>
      </c>
      <c r="F367" s="2" t="s">
        <v>3</v>
      </c>
      <c r="G367" s="31"/>
      <c r="I3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7" t="str">
        <f>IF(tb_zakazchik[[#This Row],[Столбец1]]&lt;&gt;"",SUM($I$2:I367),"")</f>
        <v/>
      </c>
      <c r="K367" t="str">
        <f>IF(tb_zakazchik[[#This Row],[Столбец1]]&lt;&gt;"",tb_baza[[#This Row],[Гос. номер]],"")</f>
        <v/>
      </c>
    </row>
    <row r="368" spans="1:11" x14ac:dyDescent="0.25">
      <c r="A368" s="17" t="s">
        <v>320</v>
      </c>
      <c r="B368" s="10" t="s">
        <v>45</v>
      </c>
      <c r="C368" s="13" t="s">
        <v>306</v>
      </c>
      <c r="D368" s="7" t="s">
        <v>1268</v>
      </c>
      <c r="E368" s="2" t="s">
        <v>1307</v>
      </c>
      <c r="F368" s="2" t="s">
        <v>13</v>
      </c>
      <c r="G368" s="31"/>
      <c r="I3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8" t="str">
        <f>IF(tb_zakazchik[[#This Row],[Столбец1]]&lt;&gt;"",SUM($I$2:I368),"")</f>
        <v/>
      </c>
      <c r="K368" t="str">
        <f>IF(tb_zakazchik[[#This Row],[Столбец1]]&lt;&gt;"",tb_baza[[#This Row],[Гос. номер]],"")</f>
        <v/>
      </c>
    </row>
    <row r="369" spans="1:11" x14ac:dyDescent="0.25">
      <c r="A369" s="17" t="s">
        <v>597</v>
      </c>
      <c r="B369" s="10" t="s">
        <v>596</v>
      </c>
      <c r="C369" s="13" t="s">
        <v>306</v>
      </c>
      <c r="D369" s="7" t="s">
        <v>779</v>
      </c>
      <c r="E369" s="2" t="s">
        <v>1307</v>
      </c>
      <c r="F369" s="2" t="s">
        <v>6</v>
      </c>
      <c r="G369" s="31"/>
      <c r="I3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69" t="str">
        <f>IF(tb_zakazchik[[#This Row],[Столбец1]]&lt;&gt;"",SUM($I$2:I369),"")</f>
        <v/>
      </c>
      <c r="K369" t="str">
        <f>IF(tb_zakazchik[[#This Row],[Столбец1]]&lt;&gt;"",tb_baza[[#This Row],[Гос. номер]],"")</f>
        <v/>
      </c>
    </row>
    <row r="370" spans="1:11" x14ac:dyDescent="0.25">
      <c r="A370" s="17" t="s">
        <v>939</v>
      </c>
      <c r="B370" s="10" t="s">
        <v>890</v>
      </c>
      <c r="C370" s="13" t="s">
        <v>306</v>
      </c>
      <c r="D370" s="7" t="s">
        <v>779</v>
      </c>
      <c r="E370" s="2" t="s">
        <v>12</v>
      </c>
      <c r="F370" s="2" t="s">
        <v>13</v>
      </c>
      <c r="G370" s="31"/>
      <c r="I3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0" t="str">
        <f>IF(tb_zakazchik[[#This Row],[Столбец1]]&lt;&gt;"",SUM($I$2:I370),"")</f>
        <v/>
      </c>
      <c r="K370" t="str">
        <f>IF(tb_zakazchik[[#This Row],[Столбец1]]&lt;&gt;"",tb_baza[[#This Row],[Гос. номер]],"")</f>
        <v/>
      </c>
    </row>
    <row r="371" spans="1:11" x14ac:dyDescent="0.25">
      <c r="A371" s="17" t="s">
        <v>554</v>
      </c>
      <c r="B371" s="10" t="s">
        <v>553</v>
      </c>
      <c r="C371" s="13" t="s">
        <v>306</v>
      </c>
      <c r="D371" s="7" t="s">
        <v>779</v>
      </c>
      <c r="E371" s="3"/>
      <c r="F371" s="2" t="s">
        <v>6</v>
      </c>
      <c r="G371" s="31"/>
      <c r="I3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1" t="str">
        <f>IF(tb_zakazchik[[#This Row],[Столбец1]]&lt;&gt;"",SUM($I$2:I371),"")</f>
        <v/>
      </c>
      <c r="K371" t="str">
        <f>IF(tb_zakazchik[[#This Row],[Столбец1]]&lt;&gt;"",tb_baza[[#This Row],[Гос. номер]],"")</f>
        <v/>
      </c>
    </row>
    <row r="372" spans="1:11" x14ac:dyDescent="0.25">
      <c r="A372" s="17" t="s">
        <v>781</v>
      </c>
      <c r="B372" s="10" t="s">
        <v>777</v>
      </c>
      <c r="C372" s="13" t="s">
        <v>306</v>
      </c>
      <c r="D372" s="7" t="s">
        <v>779</v>
      </c>
      <c r="E372" s="2" t="s">
        <v>12</v>
      </c>
      <c r="F372" s="2" t="s">
        <v>13</v>
      </c>
      <c r="G372" s="31"/>
      <c r="I3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2" t="str">
        <f>IF(tb_zakazchik[[#This Row],[Столбец1]]&lt;&gt;"",SUM($I$2:I372),"")</f>
        <v/>
      </c>
      <c r="K372" t="str">
        <f>IF(tb_zakazchik[[#This Row],[Столбец1]]&lt;&gt;"",tb_baza[[#This Row],[Гос. номер]],"")</f>
        <v/>
      </c>
    </row>
    <row r="373" spans="1:11" x14ac:dyDescent="0.25">
      <c r="A373" s="17" t="s">
        <v>778</v>
      </c>
      <c r="B373" s="10" t="s">
        <v>777</v>
      </c>
      <c r="C373" s="13" t="s">
        <v>306</v>
      </c>
      <c r="D373" s="7" t="s">
        <v>779</v>
      </c>
      <c r="E373" s="2" t="s">
        <v>12</v>
      </c>
      <c r="F373" s="2" t="s">
        <v>13</v>
      </c>
      <c r="G373" s="31"/>
      <c r="I3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3" t="str">
        <f>IF(tb_zakazchik[[#This Row],[Столбец1]]&lt;&gt;"",SUM($I$2:I373),"")</f>
        <v/>
      </c>
      <c r="K373" t="str">
        <f>IF(tb_zakazchik[[#This Row],[Столбец1]]&lt;&gt;"",tb_baza[[#This Row],[Гос. номер]],"")</f>
        <v/>
      </c>
    </row>
    <row r="374" spans="1:11" x14ac:dyDescent="0.25">
      <c r="A374" s="17" t="s">
        <v>788</v>
      </c>
      <c r="B374" s="10" t="s">
        <v>731</v>
      </c>
      <c r="C374" s="13" t="s">
        <v>306</v>
      </c>
      <c r="D374" s="7" t="s">
        <v>1304</v>
      </c>
      <c r="E374" s="2" t="s">
        <v>1307</v>
      </c>
      <c r="F374" s="2" t="s">
        <v>6</v>
      </c>
      <c r="G374" s="31"/>
      <c r="I3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4" t="str">
        <f>IF(tb_zakazchik[[#This Row],[Столбец1]]&lt;&gt;"",SUM($I$2:I374),"")</f>
        <v/>
      </c>
      <c r="K374" t="str">
        <f>IF(tb_zakazchik[[#This Row],[Столбец1]]&lt;&gt;"",tb_baza[[#This Row],[Гос. номер]],"")</f>
        <v/>
      </c>
    </row>
    <row r="375" spans="1:11" x14ac:dyDescent="0.25">
      <c r="A375" s="17" t="s">
        <v>732</v>
      </c>
      <c r="B375" s="10" t="s">
        <v>731</v>
      </c>
      <c r="C375" s="13" t="s">
        <v>306</v>
      </c>
      <c r="D375" s="7" t="s">
        <v>1304</v>
      </c>
      <c r="E375" s="2" t="s">
        <v>2</v>
      </c>
      <c r="F375" s="2" t="s">
        <v>3</v>
      </c>
      <c r="G375" s="31"/>
      <c r="I3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5" t="str">
        <f>IF(tb_zakazchik[[#This Row],[Столбец1]]&lt;&gt;"",SUM($I$2:I375),"")</f>
        <v/>
      </c>
      <c r="K375" t="str">
        <f>IF(tb_zakazchik[[#This Row],[Столбец1]]&lt;&gt;"",tb_baza[[#This Row],[Гос. номер]],"")</f>
        <v/>
      </c>
    </row>
    <row r="376" spans="1:11" x14ac:dyDescent="0.25">
      <c r="A376" s="17" t="s">
        <v>888</v>
      </c>
      <c r="B376" s="10" t="s">
        <v>751</v>
      </c>
      <c r="C376" s="13" t="s">
        <v>306</v>
      </c>
      <c r="D376" s="7" t="s">
        <v>1304</v>
      </c>
      <c r="E376" s="2" t="s">
        <v>12</v>
      </c>
      <c r="F376" s="2" t="s">
        <v>13</v>
      </c>
      <c r="G376" s="31"/>
      <c r="I3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6" t="str">
        <f>IF(tb_zakazchik[[#This Row],[Столбец1]]&lt;&gt;"",SUM($I$2:I376),"")</f>
        <v/>
      </c>
      <c r="K376" t="str">
        <f>IF(tb_zakazchik[[#This Row],[Столбец1]]&lt;&gt;"",tb_baza[[#This Row],[Гос. номер]],"")</f>
        <v/>
      </c>
    </row>
    <row r="377" spans="1:11" x14ac:dyDescent="0.25">
      <c r="A377" s="17" t="s">
        <v>887</v>
      </c>
      <c r="B377" s="10" t="s">
        <v>751</v>
      </c>
      <c r="C377" s="13" t="s">
        <v>306</v>
      </c>
      <c r="D377" s="7" t="s">
        <v>1304</v>
      </c>
      <c r="E377" s="2" t="s">
        <v>12</v>
      </c>
      <c r="F377" s="2" t="s">
        <v>13</v>
      </c>
      <c r="G377" s="31"/>
      <c r="I3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7" t="str">
        <f>IF(tb_zakazchik[[#This Row],[Столбец1]]&lt;&gt;"",SUM($I$2:I377),"")</f>
        <v/>
      </c>
      <c r="K377" t="str">
        <f>IF(tb_zakazchik[[#This Row],[Столбец1]]&lt;&gt;"",tb_baza[[#This Row],[Гос. номер]],"")</f>
        <v/>
      </c>
    </row>
    <row r="378" spans="1:11" x14ac:dyDescent="0.25">
      <c r="A378" s="17" t="s">
        <v>22</v>
      </c>
      <c r="B378" s="10" t="s">
        <v>21</v>
      </c>
      <c r="C378" s="13" t="s">
        <v>306</v>
      </c>
      <c r="D378" s="7" t="s">
        <v>1263</v>
      </c>
      <c r="E378" s="2" t="s">
        <v>1307</v>
      </c>
      <c r="F378" s="2" t="s">
        <v>6</v>
      </c>
      <c r="G378" s="31"/>
      <c r="I3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8" t="str">
        <f>IF(tb_zakazchik[[#This Row],[Столбец1]]&lt;&gt;"",SUM($I$2:I378),"")</f>
        <v/>
      </c>
      <c r="K378" t="str">
        <f>IF(tb_zakazchik[[#This Row],[Столбец1]]&lt;&gt;"",tb_baza[[#This Row],[Гос. номер]],"")</f>
        <v/>
      </c>
    </row>
    <row r="379" spans="1:11" x14ac:dyDescent="0.25">
      <c r="A379" s="17" t="s">
        <v>507</v>
      </c>
      <c r="B379" s="10" t="s">
        <v>21</v>
      </c>
      <c r="C379" s="13" t="s">
        <v>306</v>
      </c>
      <c r="D379" s="7" t="s">
        <v>1263</v>
      </c>
      <c r="E379" s="2" t="s">
        <v>1307</v>
      </c>
      <c r="F379" s="2" t="s">
        <v>13</v>
      </c>
      <c r="G379" s="31"/>
      <c r="I3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79" t="str">
        <f>IF(tb_zakazchik[[#This Row],[Столбец1]]&lt;&gt;"",SUM($I$2:I379),"")</f>
        <v/>
      </c>
      <c r="K379" t="str">
        <f>IF(tb_zakazchik[[#This Row],[Столбец1]]&lt;&gt;"",tb_baza[[#This Row],[Гос. номер]],"")</f>
        <v/>
      </c>
    </row>
    <row r="380" spans="1:11" x14ac:dyDescent="0.25">
      <c r="A380" s="17" t="s">
        <v>509</v>
      </c>
      <c r="B380" s="10" t="s">
        <v>21</v>
      </c>
      <c r="C380" s="13" t="s">
        <v>306</v>
      </c>
      <c r="D380" s="7" t="s">
        <v>1263</v>
      </c>
      <c r="E380" s="2" t="s">
        <v>1307</v>
      </c>
      <c r="F380" s="2" t="s">
        <v>13</v>
      </c>
      <c r="G380" s="31"/>
      <c r="I3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0" t="str">
        <f>IF(tb_zakazchik[[#This Row],[Столбец1]]&lt;&gt;"",SUM($I$2:I380),"")</f>
        <v/>
      </c>
      <c r="K380" t="str">
        <f>IF(tb_zakazchik[[#This Row],[Столбец1]]&lt;&gt;"",tb_baza[[#This Row],[Гос. номер]],"")</f>
        <v/>
      </c>
    </row>
    <row r="381" spans="1:11" x14ac:dyDescent="0.25">
      <c r="A381" s="17" t="s">
        <v>434</v>
      </c>
      <c r="B381" s="10" t="s">
        <v>21</v>
      </c>
      <c r="C381" s="13" t="s">
        <v>306</v>
      </c>
      <c r="D381" s="7" t="s">
        <v>1263</v>
      </c>
      <c r="E381" s="2" t="s">
        <v>1307</v>
      </c>
      <c r="F381" s="2" t="s">
        <v>13</v>
      </c>
      <c r="G381" s="31"/>
      <c r="I3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1" t="str">
        <f>IF(tb_zakazchik[[#This Row],[Столбец1]]&lt;&gt;"",SUM($I$2:I381),"")</f>
        <v/>
      </c>
      <c r="K381" t="str">
        <f>IF(tb_zakazchik[[#This Row],[Столбец1]]&lt;&gt;"",tb_baza[[#This Row],[Гос. номер]],"")</f>
        <v/>
      </c>
    </row>
    <row r="382" spans="1:11" x14ac:dyDescent="0.25">
      <c r="A382" s="17" t="s">
        <v>246</v>
      </c>
      <c r="B382" s="10" t="s">
        <v>21</v>
      </c>
      <c r="C382" s="13" t="s">
        <v>306</v>
      </c>
      <c r="D382" s="7" t="s">
        <v>1263</v>
      </c>
      <c r="E382" s="2" t="s">
        <v>1307</v>
      </c>
      <c r="F382" s="2" t="s">
        <v>13</v>
      </c>
      <c r="G382" s="31"/>
      <c r="I3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2" t="str">
        <f>IF(tb_zakazchik[[#This Row],[Столбец1]]&lt;&gt;"",SUM($I$2:I382),"")</f>
        <v/>
      </c>
      <c r="K382" t="str">
        <f>IF(tb_zakazchik[[#This Row],[Столбец1]]&lt;&gt;"",tb_baza[[#This Row],[Гос. номер]],"")</f>
        <v/>
      </c>
    </row>
    <row r="383" spans="1:11" x14ac:dyDescent="0.25">
      <c r="A383" s="17" t="s">
        <v>508</v>
      </c>
      <c r="B383" s="10" t="s">
        <v>21</v>
      </c>
      <c r="C383" s="13" t="s">
        <v>306</v>
      </c>
      <c r="D383" s="7" t="s">
        <v>1263</v>
      </c>
      <c r="E383" s="2" t="s">
        <v>1307</v>
      </c>
      <c r="F383" s="2" t="s">
        <v>13</v>
      </c>
      <c r="G383" s="31"/>
      <c r="I3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3" t="str">
        <f>IF(tb_zakazchik[[#This Row],[Столбец1]]&lt;&gt;"",SUM($I$2:I383),"")</f>
        <v/>
      </c>
      <c r="K383" t="str">
        <f>IF(tb_zakazchik[[#This Row],[Столбец1]]&lt;&gt;"",tb_baza[[#This Row],[Гос. номер]],"")</f>
        <v/>
      </c>
    </row>
    <row r="384" spans="1:11" x14ac:dyDescent="0.25">
      <c r="A384" s="17" t="s">
        <v>562</v>
      </c>
      <c r="B384" s="10" t="s">
        <v>232</v>
      </c>
      <c r="C384" s="13" t="s">
        <v>306</v>
      </c>
      <c r="D384" s="7" t="s">
        <v>1263</v>
      </c>
      <c r="E384" s="2" t="s">
        <v>1307</v>
      </c>
      <c r="F384" s="2" t="s">
        <v>13</v>
      </c>
      <c r="G384" s="31"/>
      <c r="I3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4" t="str">
        <f>IF(tb_zakazchik[[#This Row],[Столбец1]]&lt;&gt;"",SUM($I$2:I384),"")</f>
        <v/>
      </c>
      <c r="K384" t="str">
        <f>IF(tb_zakazchik[[#This Row],[Столбец1]]&lt;&gt;"",tb_baza[[#This Row],[Гос. номер]],"")</f>
        <v/>
      </c>
    </row>
    <row r="385" spans="1:11" x14ac:dyDescent="0.25">
      <c r="A385" s="17" t="s">
        <v>808</v>
      </c>
      <c r="B385" s="10" t="s">
        <v>232</v>
      </c>
      <c r="C385" s="13" t="s">
        <v>306</v>
      </c>
      <c r="D385" s="7" t="s">
        <v>1263</v>
      </c>
      <c r="E385" s="2" t="s">
        <v>1307</v>
      </c>
      <c r="F385" s="2" t="s">
        <v>13</v>
      </c>
      <c r="G385" s="31"/>
      <c r="I3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5" t="str">
        <f>IF(tb_zakazchik[[#This Row],[Столбец1]]&lt;&gt;"",SUM($I$2:I385),"")</f>
        <v/>
      </c>
      <c r="K385" t="str">
        <f>IF(tb_zakazchik[[#This Row],[Столбец1]]&lt;&gt;"",tb_baza[[#This Row],[Гос. номер]],"")</f>
        <v/>
      </c>
    </row>
    <row r="386" spans="1:11" x14ac:dyDescent="0.25">
      <c r="A386" s="17" t="s">
        <v>736</v>
      </c>
      <c r="B386" s="10" t="s">
        <v>232</v>
      </c>
      <c r="C386" s="13" t="s">
        <v>306</v>
      </c>
      <c r="D386" s="7" t="s">
        <v>1263</v>
      </c>
      <c r="E386" s="2" t="s">
        <v>1307</v>
      </c>
      <c r="F386" s="2" t="s">
        <v>13</v>
      </c>
      <c r="G386" s="31"/>
      <c r="I3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6" t="str">
        <f>IF(tb_zakazchik[[#This Row],[Столбец1]]&lt;&gt;"",SUM($I$2:I386),"")</f>
        <v/>
      </c>
      <c r="K386" t="str">
        <f>IF(tb_zakazchik[[#This Row],[Столбец1]]&lt;&gt;"",tb_baza[[#This Row],[Гос. номер]],"")</f>
        <v/>
      </c>
    </row>
    <row r="387" spans="1:11" x14ac:dyDescent="0.25">
      <c r="A387" s="17" t="s">
        <v>536</v>
      </c>
      <c r="B387" s="10" t="s">
        <v>21</v>
      </c>
      <c r="C387" s="13" t="s">
        <v>306</v>
      </c>
      <c r="D387" s="7" t="s">
        <v>1263</v>
      </c>
      <c r="E387" s="2" t="s">
        <v>1307</v>
      </c>
      <c r="F387" s="2" t="s">
        <v>13</v>
      </c>
      <c r="G387" s="31"/>
      <c r="I3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7" t="str">
        <f>IF(tb_zakazchik[[#This Row],[Столбец1]]&lt;&gt;"",SUM($I$2:I387),"")</f>
        <v/>
      </c>
      <c r="K387" t="str">
        <f>IF(tb_zakazchik[[#This Row],[Столбец1]]&lt;&gt;"",tb_baza[[#This Row],[Гос. номер]],"")</f>
        <v/>
      </c>
    </row>
    <row r="388" spans="1:11" x14ac:dyDescent="0.25">
      <c r="A388" s="17" t="s">
        <v>577</v>
      </c>
      <c r="B388" s="10" t="s">
        <v>21</v>
      </c>
      <c r="C388" s="13" t="s">
        <v>306</v>
      </c>
      <c r="D388" s="7" t="s">
        <v>1263</v>
      </c>
      <c r="E388" s="2" t="s">
        <v>1307</v>
      </c>
      <c r="F388" s="2" t="s">
        <v>3</v>
      </c>
      <c r="G388" s="31"/>
      <c r="I3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8" t="str">
        <f>IF(tb_zakazchik[[#This Row],[Столбец1]]&lt;&gt;"",SUM($I$2:I388),"")</f>
        <v/>
      </c>
      <c r="K388" t="str">
        <f>IF(tb_zakazchik[[#This Row],[Столбец1]]&lt;&gt;"",tb_baza[[#This Row],[Гос. номер]],"")</f>
        <v/>
      </c>
    </row>
    <row r="389" spans="1:11" x14ac:dyDescent="0.25">
      <c r="A389" s="17" t="s">
        <v>737</v>
      </c>
      <c r="B389" s="10" t="s">
        <v>21</v>
      </c>
      <c r="C389" s="13" t="s">
        <v>306</v>
      </c>
      <c r="D389" s="7" t="s">
        <v>1263</v>
      </c>
      <c r="E389" s="2" t="s">
        <v>1307</v>
      </c>
      <c r="F389" s="2" t="s">
        <v>13</v>
      </c>
      <c r="G389" s="31"/>
      <c r="I3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89" t="str">
        <f>IF(tb_zakazchik[[#This Row],[Столбец1]]&lt;&gt;"",SUM($I$2:I389),"")</f>
        <v/>
      </c>
      <c r="K389" t="str">
        <f>IF(tb_zakazchik[[#This Row],[Столбец1]]&lt;&gt;"",tb_baza[[#This Row],[Гос. номер]],"")</f>
        <v/>
      </c>
    </row>
    <row r="390" spans="1:11" x14ac:dyDescent="0.25">
      <c r="A390" s="17" t="s">
        <v>898</v>
      </c>
      <c r="B390" s="10" t="s">
        <v>21</v>
      </c>
      <c r="C390" s="13" t="s">
        <v>306</v>
      </c>
      <c r="D390" s="7" t="s">
        <v>1263</v>
      </c>
      <c r="E390" s="2" t="s">
        <v>1307</v>
      </c>
      <c r="F390" s="2" t="s">
        <v>13</v>
      </c>
      <c r="G390" s="31"/>
      <c r="I3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0" t="str">
        <f>IF(tb_zakazchik[[#This Row],[Столбец1]]&lt;&gt;"",SUM($I$2:I390),"")</f>
        <v/>
      </c>
      <c r="K390" t="str">
        <f>IF(tb_zakazchik[[#This Row],[Столбец1]]&lt;&gt;"",tb_baza[[#This Row],[Гос. номер]],"")</f>
        <v/>
      </c>
    </row>
    <row r="391" spans="1:11" x14ac:dyDescent="0.25">
      <c r="A391" s="17" t="s">
        <v>941</v>
      </c>
      <c r="B391" s="10" t="s">
        <v>21</v>
      </c>
      <c r="C391" s="13" t="s">
        <v>306</v>
      </c>
      <c r="D391" s="7" t="s">
        <v>1263</v>
      </c>
      <c r="E391" s="2" t="s">
        <v>1307</v>
      </c>
      <c r="F391" s="2" t="s">
        <v>6</v>
      </c>
      <c r="G391" s="31"/>
      <c r="I3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1" t="str">
        <f>IF(tb_zakazchik[[#This Row],[Столбец1]]&lt;&gt;"",SUM($I$2:I391),"")</f>
        <v/>
      </c>
      <c r="K391" t="str">
        <f>IF(tb_zakazchik[[#This Row],[Столбец1]]&lt;&gt;"",tb_baza[[#This Row],[Гос. номер]],"")</f>
        <v/>
      </c>
    </row>
    <row r="392" spans="1:11" x14ac:dyDescent="0.25">
      <c r="A392" s="17" t="s">
        <v>537</v>
      </c>
      <c r="B392" s="10" t="s">
        <v>21</v>
      </c>
      <c r="C392" s="13" t="s">
        <v>306</v>
      </c>
      <c r="D392" s="7" t="s">
        <v>1263</v>
      </c>
      <c r="E392" s="2" t="s">
        <v>1307</v>
      </c>
      <c r="F392" s="2" t="s">
        <v>6</v>
      </c>
      <c r="G392" s="31"/>
      <c r="I3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2" t="str">
        <f>IF(tb_zakazchik[[#This Row],[Столбец1]]&lt;&gt;"",SUM($I$2:I392),"")</f>
        <v/>
      </c>
      <c r="K392" t="str">
        <f>IF(tb_zakazchik[[#This Row],[Столбец1]]&lt;&gt;"",tb_baza[[#This Row],[Гос. номер]],"")</f>
        <v/>
      </c>
    </row>
    <row r="393" spans="1:11" x14ac:dyDescent="0.25">
      <c r="A393" s="17" t="s">
        <v>527</v>
      </c>
      <c r="B393" s="10" t="s">
        <v>526</v>
      </c>
      <c r="C393" s="13" t="s">
        <v>306</v>
      </c>
      <c r="D393" s="7" t="s">
        <v>1263</v>
      </c>
      <c r="E393" s="2" t="s">
        <v>1307</v>
      </c>
      <c r="F393" s="2" t="s">
        <v>13</v>
      </c>
      <c r="G393" s="31"/>
      <c r="I3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3" t="str">
        <f>IF(tb_zakazchik[[#This Row],[Столбец1]]&lt;&gt;"",SUM($I$2:I393),"")</f>
        <v/>
      </c>
      <c r="K393" t="str">
        <f>IF(tb_zakazchik[[#This Row],[Столбец1]]&lt;&gt;"",tb_baza[[#This Row],[Гос. номер]],"")</f>
        <v/>
      </c>
    </row>
    <row r="394" spans="1:11" x14ac:dyDescent="0.25">
      <c r="A394" s="17" t="s">
        <v>176</v>
      </c>
      <c r="B394" s="10" t="s">
        <v>21</v>
      </c>
      <c r="C394" s="13" t="s">
        <v>306</v>
      </c>
      <c r="D394" s="7" t="s">
        <v>1263</v>
      </c>
      <c r="E394" s="2" t="s">
        <v>1307</v>
      </c>
      <c r="F394" s="2" t="s">
        <v>6</v>
      </c>
      <c r="G394" s="31"/>
      <c r="I3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4" t="str">
        <f>IF(tb_zakazchik[[#This Row],[Столбец1]]&lt;&gt;"",SUM($I$2:I394),"")</f>
        <v/>
      </c>
      <c r="K394" t="str">
        <f>IF(tb_zakazchik[[#This Row],[Столбец1]]&lt;&gt;"",tb_baza[[#This Row],[Гос. номер]],"")</f>
        <v/>
      </c>
    </row>
    <row r="395" spans="1:11" x14ac:dyDescent="0.25">
      <c r="A395" s="17" t="s">
        <v>96</v>
      </c>
      <c r="B395" s="10" t="s">
        <v>21</v>
      </c>
      <c r="C395" s="13" t="s">
        <v>306</v>
      </c>
      <c r="D395" s="7" t="s">
        <v>1263</v>
      </c>
      <c r="E395" s="2" t="s">
        <v>1307</v>
      </c>
      <c r="F395" s="2" t="s">
        <v>13</v>
      </c>
      <c r="G395" s="31"/>
      <c r="I3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5" t="str">
        <f>IF(tb_zakazchik[[#This Row],[Столбец1]]&lt;&gt;"",SUM($I$2:I395),"")</f>
        <v/>
      </c>
      <c r="K395" t="str">
        <f>IF(tb_zakazchik[[#This Row],[Столбец1]]&lt;&gt;"",tb_baza[[#This Row],[Гос. номер]],"")</f>
        <v/>
      </c>
    </row>
    <row r="396" spans="1:11" x14ac:dyDescent="0.25">
      <c r="A396" s="17" t="s">
        <v>539</v>
      </c>
      <c r="B396" s="10" t="s">
        <v>21</v>
      </c>
      <c r="C396" s="13" t="s">
        <v>306</v>
      </c>
      <c r="D396" s="7" t="s">
        <v>1263</v>
      </c>
      <c r="E396" s="2" t="s">
        <v>1307</v>
      </c>
      <c r="F396" s="2" t="s">
        <v>13</v>
      </c>
      <c r="G396" s="31"/>
      <c r="I3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6" t="str">
        <f>IF(tb_zakazchik[[#This Row],[Столбец1]]&lt;&gt;"",SUM($I$2:I396),"")</f>
        <v/>
      </c>
      <c r="K396" t="str">
        <f>IF(tb_zakazchik[[#This Row],[Столбец1]]&lt;&gt;"",tb_baza[[#This Row],[Гос. номер]],"")</f>
        <v/>
      </c>
    </row>
    <row r="397" spans="1:11" x14ac:dyDescent="0.25">
      <c r="A397" s="17" t="s">
        <v>610</v>
      </c>
      <c r="B397" s="10" t="s">
        <v>21</v>
      </c>
      <c r="C397" s="13" t="s">
        <v>306</v>
      </c>
      <c r="D397" s="7" t="s">
        <v>1263</v>
      </c>
      <c r="E397" s="2" t="s">
        <v>1307</v>
      </c>
      <c r="F397" s="2" t="s">
        <v>13</v>
      </c>
      <c r="G397" s="31"/>
      <c r="I3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7" t="str">
        <f>IF(tb_zakazchik[[#This Row],[Столбец1]]&lt;&gt;"",SUM($I$2:I397),"")</f>
        <v/>
      </c>
      <c r="K397" t="str">
        <f>IF(tb_zakazchik[[#This Row],[Столбец1]]&lt;&gt;"",tb_baza[[#This Row],[Гос. номер]],"")</f>
        <v/>
      </c>
    </row>
    <row r="398" spans="1:11" x14ac:dyDescent="0.25">
      <c r="A398" s="17" t="s">
        <v>560</v>
      </c>
      <c r="B398" s="10" t="s">
        <v>21</v>
      </c>
      <c r="C398" s="13" t="s">
        <v>306</v>
      </c>
      <c r="D398" s="7" t="s">
        <v>1263</v>
      </c>
      <c r="E398" s="2" t="s">
        <v>1307</v>
      </c>
      <c r="F398" s="2" t="s">
        <v>13</v>
      </c>
      <c r="G398" s="31"/>
      <c r="I3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8" t="str">
        <f>IF(tb_zakazchik[[#This Row],[Столбец1]]&lt;&gt;"",SUM($I$2:I398),"")</f>
        <v/>
      </c>
      <c r="K398" t="str">
        <f>IF(tb_zakazchik[[#This Row],[Столбец1]]&lt;&gt;"",tb_baza[[#This Row],[Гос. номер]],"")</f>
        <v/>
      </c>
    </row>
    <row r="399" spans="1:11" x14ac:dyDescent="0.25">
      <c r="A399" s="17" t="s">
        <v>561</v>
      </c>
      <c r="B399" s="10" t="s">
        <v>21</v>
      </c>
      <c r="C399" s="13" t="s">
        <v>306</v>
      </c>
      <c r="D399" s="7" t="s">
        <v>1263</v>
      </c>
      <c r="E399" s="2" t="s">
        <v>1307</v>
      </c>
      <c r="F399" s="2" t="s">
        <v>6</v>
      </c>
      <c r="G399" s="31"/>
      <c r="I3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399" t="str">
        <f>IF(tb_zakazchik[[#This Row],[Столбец1]]&lt;&gt;"",SUM($I$2:I399),"")</f>
        <v/>
      </c>
      <c r="K399" t="str">
        <f>IF(tb_zakazchik[[#This Row],[Столбец1]]&lt;&gt;"",tb_baza[[#This Row],[Гос. номер]],"")</f>
        <v/>
      </c>
    </row>
    <row r="400" spans="1:11" x14ac:dyDescent="0.25">
      <c r="A400" s="17" t="s">
        <v>772</v>
      </c>
      <c r="B400" s="10" t="s">
        <v>21</v>
      </c>
      <c r="C400" s="13" t="s">
        <v>306</v>
      </c>
      <c r="D400" s="7" t="s">
        <v>1263</v>
      </c>
      <c r="E400" s="2" t="s">
        <v>1307</v>
      </c>
      <c r="F400" s="2" t="s">
        <v>6</v>
      </c>
      <c r="G400" s="31"/>
      <c r="I4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0" t="str">
        <f>IF(tb_zakazchik[[#This Row],[Столбец1]]&lt;&gt;"",SUM($I$2:I400),"")</f>
        <v/>
      </c>
      <c r="K400" t="str">
        <f>IF(tb_zakazchik[[#This Row],[Столбец1]]&lt;&gt;"",tb_baza[[#This Row],[Гос. номер]],"")</f>
        <v/>
      </c>
    </row>
    <row r="401" spans="1:11" x14ac:dyDescent="0.25">
      <c r="A401" s="17" t="s">
        <v>809</v>
      </c>
      <c r="B401" s="10" t="s">
        <v>232</v>
      </c>
      <c r="C401" s="13" t="s">
        <v>306</v>
      </c>
      <c r="D401" s="7" t="s">
        <v>1263</v>
      </c>
      <c r="E401" s="2" t="s">
        <v>1307</v>
      </c>
      <c r="F401" s="2" t="s">
        <v>13</v>
      </c>
      <c r="G401" s="31"/>
      <c r="I4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1" t="str">
        <f>IF(tb_zakazchik[[#This Row],[Столбец1]]&lt;&gt;"",SUM($I$2:I401),"")</f>
        <v/>
      </c>
      <c r="K401" t="str">
        <f>IF(tb_zakazchik[[#This Row],[Столбец1]]&lt;&gt;"",tb_baza[[#This Row],[Гос. номер]],"")</f>
        <v/>
      </c>
    </row>
    <row r="402" spans="1:11" x14ac:dyDescent="0.25">
      <c r="A402" s="17" t="s">
        <v>826</v>
      </c>
      <c r="B402" s="10" t="s">
        <v>158</v>
      </c>
      <c r="C402" s="13" t="s">
        <v>306</v>
      </c>
      <c r="D402" s="7" t="s">
        <v>1263</v>
      </c>
      <c r="E402" s="2" t="s">
        <v>12</v>
      </c>
      <c r="F402" s="2" t="s">
        <v>13</v>
      </c>
      <c r="G402" s="31"/>
      <c r="I4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2" t="str">
        <f>IF(tb_zakazchik[[#This Row],[Столбец1]]&lt;&gt;"",SUM($I$2:I402),"")</f>
        <v/>
      </c>
      <c r="K402" t="str">
        <f>IF(tb_zakazchik[[#This Row],[Столбец1]]&lt;&gt;"",tb_baza[[#This Row],[Гос. номер]],"")</f>
        <v/>
      </c>
    </row>
    <row r="403" spans="1:11" x14ac:dyDescent="0.25">
      <c r="A403" s="17" t="s">
        <v>825</v>
      </c>
      <c r="B403" s="10" t="s">
        <v>158</v>
      </c>
      <c r="C403" s="13" t="s">
        <v>306</v>
      </c>
      <c r="D403" s="7" t="s">
        <v>1263</v>
      </c>
      <c r="E403" s="2" t="s">
        <v>12</v>
      </c>
      <c r="F403" s="2" t="s">
        <v>13</v>
      </c>
      <c r="G403" s="31"/>
      <c r="I4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3" t="str">
        <f>IF(tb_zakazchik[[#This Row],[Столбец1]]&lt;&gt;"",SUM($I$2:I403),"")</f>
        <v/>
      </c>
      <c r="K403" t="str">
        <f>IF(tb_zakazchik[[#This Row],[Столбец1]]&lt;&gt;"",tb_baza[[#This Row],[Гос. номер]],"")</f>
        <v/>
      </c>
    </row>
    <row r="404" spans="1:11" x14ac:dyDescent="0.25">
      <c r="A404" s="17" t="s">
        <v>824</v>
      </c>
      <c r="B404" s="10" t="s">
        <v>158</v>
      </c>
      <c r="C404" s="13" t="s">
        <v>306</v>
      </c>
      <c r="D404" s="7" t="s">
        <v>1263</v>
      </c>
      <c r="E404" s="2" t="s">
        <v>12</v>
      </c>
      <c r="F404" s="2" t="s">
        <v>13</v>
      </c>
      <c r="G404" s="31"/>
      <c r="I4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4" t="str">
        <f>IF(tb_zakazchik[[#This Row],[Столбец1]]&lt;&gt;"",SUM($I$2:I404),"")</f>
        <v/>
      </c>
      <c r="K404" t="str">
        <f>IF(tb_zakazchik[[#This Row],[Столбец1]]&lt;&gt;"",tb_baza[[#This Row],[Гос. номер]],"")</f>
        <v/>
      </c>
    </row>
    <row r="405" spans="1:11" x14ac:dyDescent="0.25">
      <c r="A405" s="17" t="s">
        <v>321</v>
      </c>
      <c r="B405" s="10" t="s">
        <v>158</v>
      </c>
      <c r="C405" s="13" t="s">
        <v>306</v>
      </c>
      <c r="D405" s="7" t="s">
        <v>1263</v>
      </c>
      <c r="E405" s="2" t="s">
        <v>12</v>
      </c>
      <c r="F405" s="2" t="s">
        <v>13</v>
      </c>
      <c r="G405" s="31"/>
      <c r="I4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5" t="str">
        <f>IF(tb_zakazchik[[#This Row],[Столбец1]]&lt;&gt;"",SUM($I$2:I405),"")</f>
        <v/>
      </c>
      <c r="K405" t="str">
        <f>IF(tb_zakazchik[[#This Row],[Столбец1]]&lt;&gt;"",tb_baza[[#This Row],[Гос. номер]],"")</f>
        <v/>
      </c>
    </row>
    <row r="406" spans="1:11" x14ac:dyDescent="0.25">
      <c r="A406" s="17" t="s">
        <v>983</v>
      </c>
      <c r="B406" s="10" t="s">
        <v>158</v>
      </c>
      <c r="C406" s="13" t="s">
        <v>306</v>
      </c>
      <c r="D406" s="7" t="s">
        <v>1263</v>
      </c>
      <c r="E406" s="2" t="s">
        <v>12</v>
      </c>
      <c r="F406" s="2" t="s">
        <v>13</v>
      </c>
      <c r="G406" s="31"/>
      <c r="I4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6" t="str">
        <f>IF(tb_zakazchik[[#This Row],[Столбец1]]&lt;&gt;"",SUM($I$2:I406),"")</f>
        <v/>
      </c>
      <c r="K406" t="str">
        <f>IF(tb_zakazchik[[#This Row],[Столбец1]]&lt;&gt;"",tb_baza[[#This Row],[Гос. номер]],"")</f>
        <v/>
      </c>
    </row>
    <row r="407" spans="1:11" x14ac:dyDescent="0.25">
      <c r="A407" s="17" t="s">
        <v>823</v>
      </c>
      <c r="B407" s="10" t="s">
        <v>158</v>
      </c>
      <c r="C407" s="13" t="s">
        <v>306</v>
      </c>
      <c r="D407" s="7" t="s">
        <v>1263</v>
      </c>
      <c r="E407" s="2" t="s">
        <v>12</v>
      </c>
      <c r="F407" s="2" t="s">
        <v>13</v>
      </c>
      <c r="G407" s="31"/>
      <c r="I4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7" t="str">
        <f>IF(tb_zakazchik[[#This Row],[Столбец1]]&lt;&gt;"",SUM($I$2:I407),"")</f>
        <v/>
      </c>
      <c r="K407" t="str">
        <f>IF(tb_zakazchik[[#This Row],[Столбец1]]&lt;&gt;"",tb_baza[[#This Row],[Гос. номер]],"")</f>
        <v/>
      </c>
    </row>
    <row r="408" spans="1:11" x14ac:dyDescent="0.25">
      <c r="A408" s="17" t="s">
        <v>822</v>
      </c>
      <c r="B408" s="10" t="s">
        <v>158</v>
      </c>
      <c r="C408" s="13" t="s">
        <v>306</v>
      </c>
      <c r="D408" s="7" t="s">
        <v>1263</v>
      </c>
      <c r="E408" s="2" t="s">
        <v>12</v>
      </c>
      <c r="F408" s="2" t="s">
        <v>13</v>
      </c>
      <c r="G408" s="31"/>
      <c r="I4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8" t="str">
        <f>IF(tb_zakazchik[[#This Row],[Столбец1]]&lt;&gt;"",SUM($I$2:I408),"")</f>
        <v/>
      </c>
      <c r="K408" t="str">
        <f>IF(tb_zakazchik[[#This Row],[Столбец1]]&lt;&gt;"",tb_baza[[#This Row],[Гос. номер]],"")</f>
        <v/>
      </c>
    </row>
    <row r="409" spans="1:11" x14ac:dyDescent="0.25">
      <c r="A409" s="17" t="s">
        <v>1037</v>
      </c>
      <c r="B409" s="10" t="s">
        <v>158</v>
      </c>
      <c r="C409" s="13" t="s">
        <v>306</v>
      </c>
      <c r="D409" s="7" t="s">
        <v>1263</v>
      </c>
      <c r="E409" s="2" t="s">
        <v>12</v>
      </c>
      <c r="F409" s="2" t="s">
        <v>13</v>
      </c>
      <c r="G409" s="31"/>
      <c r="I4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09" t="str">
        <f>IF(tb_zakazchik[[#This Row],[Столбец1]]&lt;&gt;"",SUM($I$2:I409),"")</f>
        <v/>
      </c>
      <c r="K409" t="str">
        <f>IF(tb_zakazchik[[#This Row],[Столбец1]]&lt;&gt;"",tb_baza[[#This Row],[Гос. номер]],"")</f>
        <v/>
      </c>
    </row>
    <row r="410" spans="1:11" x14ac:dyDescent="0.25">
      <c r="A410" s="17" t="s">
        <v>230</v>
      </c>
      <c r="B410" s="10" t="s">
        <v>158</v>
      </c>
      <c r="C410" s="13" t="s">
        <v>306</v>
      </c>
      <c r="D410" s="7" t="s">
        <v>1263</v>
      </c>
      <c r="E410" s="2" t="s">
        <v>12</v>
      </c>
      <c r="F410" s="2" t="s">
        <v>13</v>
      </c>
      <c r="G410" s="31"/>
      <c r="I4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0" t="str">
        <f>IF(tb_zakazchik[[#This Row],[Столбец1]]&lt;&gt;"",SUM($I$2:I410),"")</f>
        <v/>
      </c>
      <c r="K410" t="str">
        <f>IF(tb_zakazchik[[#This Row],[Столбец1]]&lt;&gt;"",tb_baza[[#This Row],[Гос. номер]],"")</f>
        <v/>
      </c>
    </row>
    <row r="411" spans="1:11" x14ac:dyDescent="0.25">
      <c r="A411" s="17" t="s">
        <v>947</v>
      </c>
      <c r="B411" s="10" t="s">
        <v>158</v>
      </c>
      <c r="C411" s="13" t="s">
        <v>306</v>
      </c>
      <c r="D411" s="7" t="s">
        <v>1263</v>
      </c>
      <c r="E411" s="2" t="s">
        <v>12</v>
      </c>
      <c r="F411" s="2" t="s">
        <v>13</v>
      </c>
      <c r="G411" s="31"/>
      <c r="I4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1" t="str">
        <f>IF(tb_zakazchik[[#This Row],[Столбец1]]&lt;&gt;"",SUM($I$2:I411),"")</f>
        <v/>
      </c>
      <c r="K411" t="str">
        <f>IF(tb_zakazchik[[#This Row],[Столбец1]]&lt;&gt;"",tb_baza[[#This Row],[Гос. номер]],"")</f>
        <v/>
      </c>
    </row>
    <row r="412" spans="1:11" x14ac:dyDescent="0.25">
      <c r="A412" s="17" t="s">
        <v>944</v>
      </c>
      <c r="B412" s="10" t="s">
        <v>158</v>
      </c>
      <c r="C412" s="13" t="s">
        <v>306</v>
      </c>
      <c r="D412" s="7" t="s">
        <v>1263</v>
      </c>
      <c r="E412" s="2" t="s">
        <v>12</v>
      </c>
      <c r="F412" s="2" t="s">
        <v>13</v>
      </c>
      <c r="G412" s="31"/>
      <c r="I4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2" t="str">
        <f>IF(tb_zakazchik[[#This Row],[Столбец1]]&lt;&gt;"",SUM($I$2:I412),"")</f>
        <v/>
      </c>
      <c r="K412" t="str">
        <f>IF(tb_zakazchik[[#This Row],[Столбец1]]&lt;&gt;"",tb_baza[[#This Row],[Гос. номер]],"")</f>
        <v/>
      </c>
    </row>
    <row r="413" spans="1:11" x14ac:dyDescent="0.25">
      <c r="A413" s="17" t="s">
        <v>895</v>
      </c>
      <c r="B413" s="10" t="s">
        <v>526</v>
      </c>
      <c r="C413" s="13" t="s">
        <v>306</v>
      </c>
      <c r="D413" s="7" t="s">
        <v>1263</v>
      </c>
      <c r="E413" s="2" t="s">
        <v>12</v>
      </c>
      <c r="F413" s="2" t="s">
        <v>13</v>
      </c>
      <c r="G413" s="31"/>
      <c r="I4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3" t="str">
        <f>IF(tb_zakazchik[[#This Row],[Столбец1]]&lt;&gt;"",SUM($I$2:I413),"")</f>
        <v/>
      </c>
      <c r="K413" t="str">
        <f>IF(tb_zakazchik[[#This Row],[Столбец1]]&lt;&gt;"",tb_baza[[#This Row],[Гос. номер]],"")</f>
        <v/>
      </c>
    </row>
    <row r="414" spans="1:11" x14ac:dyDescent="0.25">
      <c r="A414" s="17" t="s">
        <v>103</v>
      </c>
      <c r="B414" s="10" t="s">
        <v>102</v>
      </c>
      <c r="C414" s="13" t="s">
        <v>306</v>
      </c>
      <c r="D414" s="7" t="s">
        <v>1263</v>
      </c>
      <c r="E414" s="3" t="s">
        <v>1307</v>
      </c>
      <c r="F414" s="2" t="s">
        <v>3</v>
      </c>
      <c r="G414" s="31"/>
      <c r="I4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4" t="str">
        <f>IF(tb_zakazchik[[#This Row],[Столбец1]]&lt;&gt;"",SUM($I$2:I414),"")</f>
        <v/>
      </c>
      <c r="K414" t="str">
        <f>IF(tb_zakazchik[[#This Row],[Столбец1]]&lt;&gt;"",tb_baza[[#This Row],[Гос. номер]],"")</f>
        <v/>
      </c>
    </row>
    <row r="415" spans="1:11" x14ac:dyDescent="0.25">
      <c r="A415" s="17" t="s">
        <v>408</v>
      </c>
      <c r="B415" s="10" t="s">
        <v>407</v>
      </c>
      <c r="C415" s="13" t="s">
        <v>153</v>
      </c>
      <c r="D415" s="7" t="s">
        <v>1267</v>
      </c>
      <c r="E415" s="2" t="s">
        <v>1306</v>
      </c>
      <c r="F415" s="2" t="s">
        <v>13</v>
      </c>
      <c r="G415" s="31"/>
      <c r="I4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5" t="str">
        <f>IF(tb_zakazchik[[#This Row],[Столбец1]]&lt;&gt;"",SUM($I$2:I415),"")</f>
        <v/>
      </c>
      <c r="K415" t="str">
        <f>IF(tb_zakazchik[[#This Row],[Столбец1]]&lt;&gt;"",tb_baza[[#This Row],[Гос. номер]],"")</f>
        <v/>
      </c>
    </row>
    <row r="416" spans="1:11" x14ac:dyDescent="0.25">
      <c r="A416" s="17" t="s">
        <v>215</v>
      </c>
      <c r="B416" s="10" t="s">
        <v>214</v>
      </c>
      <c r="C416" s="13" t="s">
        <v>153</v>
      </c>
      <c r="D416" s="7" t="s">
        <v>1267</v>
      </c>
      <c r="E416" s="2" t="s">
        <v>1306</v>
      </c>
      <c r="F416" s="2" t="s">
        <v>3</v>
      </c>
      <c r="G416" s="31"/>
      <c r="I4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6" t="str">
        <f>IF(tb_zakazchik[[#This Row],[Столбец1]]&lt;&gt;"",SUM($I$2:I416),"")</f>
        <v/>
      </c>
      <c r="K416" t="str">
        <f>IF(tb_zakazchik[[#This Row],[Столбец1]]&lt;&gt;"",tb_baza[[#This Row],[Гос. номер]],"")</f>
        <v/>
      </c>
    </row>
    <row r="417" spans="1:11" x14ac:dyDescent="0.25">
      <c r="A417" s="17" t="s">
        <v>856</v>
      </c>
      <c r="B417" s="10" t="s">
        <v>298</v>
      </c>
      <c r="C417" s="13" t="s">
        <v>153</v>
      </c>
      <c r="D417" s="7" t="s">
        <v>1267</v>
      </c>
      <c r="E417" s="2" t="s">
        <v>1306</v>
      </c>
      <c r="F417" s="2" t="s">
        <v>3</v>
      </c>
      <c r="G417" s="31"/>
      <c r="I4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7" t="str">
        <f>IF(tb_zakazchik[[#This Row],[Столбец1]]&lt;&gt;"",SUM($I$2:I417),"")</f>
        <v/>
      </c>
      <c r="K417" t="str">
        <f>IF(tb_zakazchik[[#This Row],[Столбец1]]&lt;&gt;"",tb_baza[[#This Row],[Гос. номер]],"")</f>
        <v/>
      </c>
    </row>
    <row r="418" spans="1:11" x14ac:dyDescent="0.25">
      <c r="A418" s="17" t="s">
        <v>299</v>
      </c>
      <c r="B418" s="10" t="s">
        <v>298</v>
      </c>
      <c r="C418" s="13" t="s">
        <v>153</v>
      </c>
      <c r="D418" s="7" t="s">
        <v>1267</v>
      </c>
      <c r="E418" s="2" t="s">
        <v>1306</v>
      </c>
      <c r="F418" s="2" t="s">
        <v>13</v>
      </c>
      <c r="G418" s="31"/>
      <c r="I4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8" t="str">
        <f>IF(tb_zakazchik[[#This Row],[Столбец1]]&lt;&gt;"",SUM($I$2:I418),"")</f>
        <v/>
      </c>
      <c r="K418" t="str">
        <f>IF(tb_zakazchik[[#This Row],[Столбец1]]&lt;&gt;"",tb_baza[[#This Row],[Гос. номер]],"")</f>
        <v/>
      </c>
    </row>
    <row r="419" spans="1:11" x14ac:dyDescent="0.25">
      <c r="A419" s="17" t="s">
        <v>857</v>
      </c>
      <c r="B419" s="10" t="s">
        <v>298</v>
      </c>
      <c r="C419" s="13" t="s">
        <v>153</v>
      </c>
      <c r="D419" s="7" t="s">
        <v>1267</v>
      </c>
      <c r="E419" s="2" t="s">
        <v>1306</v>
      </c>
      <c r="F419" s="2" t="s">
        <v>3</v>
      </c>
      <c r="G419" s="31"/>
      <c r="I4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19" t="str">
        <f>IF(tb_zakazchik[[#This Row],[Столбец1]]&lt;&gt;"",SUM($I$2:I419),"")</f>
        <v/>
      </c>
      <c r="K419" t="str">
        <f>IF(tb_zakazchik[[#This Row],[Столбец1]]&lt;&gt;"",tb_baza[[#This Row],[Гос. номер]],"")</f>
        <v/>
      </c>
    </row>
    <row r="420" spans="1:11" x14ac:dyDescent="0.25">
      <c r="A420" s="17" t="s">
        <v>859</v>
      </c>
      <c r="B420" s="10" t="s">
        <v>298</v>
      </c>
      <c r="C420" s="13" t="s">
        <v>153</v>
      </c>
      <c r="D420" s="7" t="s">
        <v>1267</v>
      </c>
      <c r="E420" s="2" t="s">
        <v>1306</v>
      </c>
      <c r="F420" s="2" t="s">
        <v>13</v>
      </c>
      <c r="G420" s="31"/>
      <c r="I4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0" t="str">
        <f>IF(tb_zakazchik[[#This Row],[Столбец1]]&lt;&gt;"",SUM($I$2:I420),"")</f>
        <v/>
      </c>
      <c r="K420" t="str">
        <f>IF(tb_zakazchik[[#This Row],[Столбец1]]&lt;&gt;"",tb_baza[[#This Row],[Гос. номер]],"")</f>
        <v/>
      </c>
    </row>
    <row r="421" spans="1:11" x14ac:dyDescent="0.25">
      <c r="A421" s="17" t="s">
        <v>1187</v>
      </c>
      <c r="B421" s="10" t="s">
        <v>1095</v>
      </c>
      <c r="C421" s="13" t="s">
        <v>153</v>
      </c>
      <c r="D421" s="7" t="s">
        <v>1267</v>
      </c>
      <c r="E421" s="2" t="s">
        <v>1306</v>
      </c>
      <c r="F421" s="2" t="s">
        <v>3</v>
      </c>
      <c r="G421" s="31"/>
      <c r="I4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1" t="str">
        <f>IF(tb_zakazchik[[#This Row],[Столбец1]]&lt;&gt;"",SUM($I$2:I421),"")</f>
        <v/>
      </c>
      <c r="K421" t="str">
        <f>IF(tb_zakazchik[[#This Row],[Столбец1]]&lt;&gt;"",tb_baza[[#This Row],[Гос. номер]],"")</f>
        <v/>
      </c>
    </row>
    <row r="422" spans="1:11" x14ac:dyDescent="0.25">
      <c r="A422" s="17" t="s">
        <v>1032</v>
      </c>
      <c r="B422" s="10" t="s">
        <v>214</v>
      </c>
      <c r="C422" s="13" t="s">
        <v>153</v>
      </c>
      <c r="D422" s="7" t="s">
        <v>1267</v>
      </c>
      <c r="E422" s="2" t="s">
        <v>1307</v>
      </c>
      <c r="F422" s="2" t="s">
        <v>13</v>
      </c>
      <c r="G422" s="31"/>
      <c r="I4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2" t="str">
        <f>IF(tb_zakazchik[[#This Row],[Столбец1]]&lt;&gt;"",SUM($I$2:I422),"")</f>
        <v/>
      </c>
      <c r="K422" t="str">
        <f>IF(tb_zakazchik[[#This Row],[Столбец1]]&lt;&gt;"",tb_baza[[#This Row],[Гос. номер]],"")</f>
        <v/>
      </c>
    </row>
    <row r="423" spans="1:11" x14ac:dyDescent="0.25">
      <c r="A423" s="17" t="s">
        <v>518</v>
      </c>
      <c r="B423" s="10" t="s">
        <v>214</v>
      </c>
      <c r="C423" s="13" t="s">
        <v>153</v>
      </c>
      <c r="D423" s="7" t="s">
        <v>1267</v>
      </c>
      <c r="E423" s="2" t="s">
        <v>1307</v>
      </c>
      <c r="F423" s="2" t="s">
        <v>13</v>
      </c>
      <c r="G423" s="31"/>
      <c r="I4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3" t="str">
        <f>IF(tb_zakazchik[[#This Row],[Столбец1]]&lt;&gt;"",SUM($I$2:I423),"")</f>
        <v/>
      </c>
      <c r="K423" t="str">
        <f>IF(tb_zakazchik[[#This Row],[Столбец1]]&lt;&gt;"",tb_baza[[#This Row],[Гос. номер]],"")</f>
        <v/>
      </c>
    </row>
    <row r="424" spans="1:11" x14ac:dyDescent="0.25">
      <c r="A424" s="17" t="s">
        <v>579</v>
      </c>
      <c r="B424" s="10" t="s">
        <v>214</v>
      </c>
      <c r="C424" s="13" t="s">
        <v>153</v>
      </c>
      <c r="D424" s="7" t="s">
        <v>1267</v>
      </c>
      <c r="E424" s="2" t="s">
        <v>1307</v>
      </c>
      <c r="F424" s="2" t="s">
        <v>13</v>
      </c>
      <c r="G424" s="31"/>
      <c r="I4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4" t="str">
        <f>IF(tb_zakazchik[[#This Row],[Столбец1]]&lt;&gt;"",SUM($I$2:I424),"")</f>
        <v/>
      </c>
      <c r="K424" t="str">
        <f>IF(tb_zakazchik[[#This Row],[Столбец1]]&lt;&gt;"",tb_baza[[#This Row],[Гос. номер]],"")</f>
        <v/>
      </c>
    </row>
    <row r="425" spans="1:11" x14ac:dyDescent="0.25">
      <c r="A425" s="17" t="s">
        <v>1048</v>
      </c>
      <c r="B425" s="10" t="s">
        <v>1047</v>
      </c>
      <c r="C425" s="13" t="s">
        <v>153</v>
      </c>
      <c r="D425" s="7" t="s">
        <v>1267</v>
      </c>
      <c r="E425" s="2" t="s">
        <v>140</v>
      </c>
      <c r="F425" s="2" t="s">
        <v>3</v>
      </c>
      <c r="G425" s="31"/>
      <c r="I4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5" t="str">
        <f>IF(tb_zakazchik[[#This Row],[Столбец1]]&lt;&gt;"",SUM($I$2:I425),"")</f>
        <v/>
      </c>
      <c r="K425" t="str">
        <f>IF(tb_zakazchik[[#This Row],[Столбец1]]&lt;&gt;"",tb_baza[[#This Row],[Гос. номер]],"")</f>
        <v/>
      </c>
    </row>
    <row r="426" spans="1:11" x14ac:dyDescent="0.25">
      <c r="A426" s="17" t="s">
        <v>234</v>
      </c>
      <c r="B426" s="10" t="s">
        <v>214</v>
      </c>
      <c r="C426" s="13" t="s">
        <v>153</v>
      </c>
      <c r="D426" s="7" t="s">
        <v>1267</v>
      </c>
      <c r="E426" s="2" t="s">
        <v>2</v>
      </c>
      <c r="F426" s="2" t="s">
        <v>13</v>
      </c>
      <c r="G426" s="31"/>
      <c r="I4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6" t="str">
        <f>IF(tb_zakazchik[[#This Row],[Столбец1]]&lt;&gt;"",SUM($I$2:I426),"")</f>
        <v/>
      </c>
      <c r="K426" t="str">
        <f>IF(tb_zakazchik[[#This Row],[Столбец1]]&lt;&gt;"",tb_baza[[#This Row],[Гос. номер]],"")</f>
        <v/>
      </c>
    </row>
    <row r="427" spans="1:11" x14ac:dyDescent="0.25">
      <c r="A427" s="17" t="s">
        <v>878</v>
      </c>
      <c r="B427" s="10" t="s">
        <v>877</v>
      </c>
      <c r="C427" s="13" t="s">
        <v>153</v>
      </c>
      <c r="D427" s="7" t="s">
        <v>1267</v>
      </c>
      <c r="E427" s="2" t="s">
        <v>2</v>
      </c>
      <c r="F427" s="2" t="s">
        <v>3</v>
      </c>
      <c r="G427" s="31"/>
      <c r="I4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7" t="str">
        <f>IF(tb_zakazchik[[#This Row],[Столбец1]]&lt;&gt;"",SUM($I$2:I427),"")</f>
        <v/>
      </c>
      <c r="K427" t="str">
        <f>IF(tb_zakazchik[[#This Row],[Столбец1]]&lt;&gt;"",tb_baza[[#This Row],[Гос. номер]],"")</f>
        <v/>
      </c>
    </row>
    <row r="428" spans="1:11" x14ac:dyDescent="0.25">
      <c r="A428" s="17" t="s">
        <v>761</v>
      </c>
      <c r="B428" s="10" t="s">
        <v>760</v>
      </c>
      <c r="C428" s="13" t="s">
        <v>153</v>
      </c>
      <c r="D428" s="7" t="s">
        <v>1267</v>
      </c>
      <c r="E428" s="2" t="s">
        <v>2</v>
      </c>
      <c r="F428" s="2" t="s">
        <v>3</v>
      </c>
      <c r="G428" s="31"/>
      <c r="I4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8" t="str">
        <f>IF(tb_zakazchik[[#This Row],[Столбец1]]&lt;&gt;"",SUM($I$2:I428),"")</f>
        <v/>
      </c>
      <c r="K428" t="str">
        <f>IF(tb_zakazchik[[#This Row],[Столбец1]]&lt;&gt;"",tb_baza[[#This Row],[Гос. номер]],"")</f>
        <v/>
      </c>
    </row>
    <row r="429" spans="1:11" x14ac:dyDescent="0.25">
      <c r="A429" s="17" t="s">
        <v>854</v>
      </c>
      <c r="B429" s="10" t="s">
        <v>853</v>
      </c>
      <c r="C429" s="13" t="s">
        <v>153</v>
      </c>
      <c r="D429" s="7" t="s">
        <v>1267</v>
      </c>
      <c r="E429" s="2" t="s">
        <v>2</v>
      </c>
      <c r="F429" s="2" t="s">
        <v>13</v>
      </c>
      <c r="G429" s="31"/>
      <c r="I4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29" t="str">
        <f>IF(tb_zakazchik[[#This Row],[Столбец1]]&lt;&gt;"",SUM($I$2:I429),"")</f>
        <v/>
      </c>
      <c r="K429" t="str">
        <f>IF(tb_zakazchik[[#This Row],[Столбец1]]&lt;&gt;"",tb_baza[[#This Row],[Гос. номер]],"")</f>
        <v/>
      </c>
    </row>
    <row r="430" spans="1:11" x14ac:dyDescent="0.25">
      <c r="A430" s="17" t="s">
        <v>855</v>
      </c>
      <c r="B430" s="10" t="s">
        <v>853</v>
      </c>
      <c r="C430" s="13" t="s">
        <v>153</v>
      </c>
      <c r="D430" s="7" t="s">
        <v>1267</v>
      </c>
      <c r="E430" s="2" t="s">
        <v>2</v>
      </c>
      <c r="F430" s="2" t="s">
        <v>13</v>
      </c>
      <c r="G430" s="31"/>
      <c r="I4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0" t="str">
        <f>IF(tb_zakazchik[[#This Row],[Столбец1]]&lt;&gt;"",SUM($I$2:I430),"")</f>
        <v/>
      </c>
      <c r="K430" t="str">
        <f>IF(tb_zakazchik[[#This Row],[Столбец1]]&lt;&gt;"",tb_baza[[#This Row],[Гос. номер]],"")</f>
        <v/>
      </c>
    </row>
    <row r="431" spans="1:11" x14ac:dyDescent="0.25">
      <c r="A431" s="17" t="s">
        <v>1096</v>
      </c>
      <c r="B431" s="10" t="s">
        <v>1095</v>
      </c>
      <c r="C431" s="13" t="s">
        <v>153</v>
      </c>
      <c r="D431" s="7" t="s">
        <v>1267</v>
      </c>
      <c r="E431" s="2" t="s">
        <v>2</v>
      </c>
      <c r="F431" s="2" t="s">
        <v>3</v>
      </c>
      <c r="G431" s="31"/>
      <c r="I4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1" t="str">
        <f>IF(tb_zakazchik[[#This Row],[Столбец1]]&lt;&gt;"",SUM($I$2:I431),"")</f>
        <v/>
      </c>
      <c r="K431" t="str">
        <f>IF(tb_zakazchik[[#This Row],[Столбец1]]&lt;&gt;"",tb_baza[[#This Row],[Гос. номер]],"")</f>
        <v/>
      </c>
    </row>
    <row r="432" spans="1:11" x14ac:dyDescent="0.25">
      <c r="A432" s="17" t="s">
        <v>915</v>
      </c>
      <c r="B432" s="10" t="s">
        <v>298</v>
      </c>
      <c r="C432" s="13" t="s">
        <v>153</v>
      </c>
      <c r="D432" s="7" t="s">
        <v>1267</v>
      </c>
      <c r="E432" s="2" t="s">
        <v>2</v>
      </c>
      <c r="F432" s="2" t="s">
        <v>13</v>
      </c>
      <c r="G432" s="31"/>
      <c r="I4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2" t="str">
        <f>IF(tb_zakazchik[[#This Row],[Столбец1]]&lt;&gt;"",SUM($I$2:I432),"")</f>
        <v/>
      </c>
      <c r="K432" t="str">
        <f>IF(tb_zakazchik[[#This Row],[Столбец1]]&lt;&gt;"",tb_baza[[#This Row],[Гос. номер]],"")</f>
        <v/>
      </c>
    </row>
    <row r="433" spans="1:11" x14ac:dyDescent="0.25">
      <c r="A433" s="17" t="s">
        <v>916</v>
      </c>
      <c r="B433" s="10" t="s">
        <v>298</v>
      </c>
      <c r="C433" s="13" t="s">
        <v>153</v>
      </c>
      <c r="D433" s="7" t="s">
        <v>1267</v>
      </c>
      <c r="E433" s="2" t="s">
        <v>2</v>
      </c>
      <c r="F433" s="2" t="s">
        <v>13</v>
      </c>
      <c r="G433" s="31"/>
      <c r="I4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3" t="str">
        <f>IF(tb_zakazchik[[#This Row],[Столбец1]]&lt;&gt;"",SUM($I$2:I433),"")</f>
        <v/>
      </c>
      <c r="K433" t="str">
        <f>IF(tb_zakazchik[[#This Row],[Столбец1]]&lt;&gt;"",tb_baza[[#This Row],[Гос. номер]],"")</f>
        <v/>
      </c>
    </row>
    <row r="434" spans="1:11" x14ac:dyDescent="0.25">
      <c r="A434" s="17" t="s">
        <v>862</v>
      </c>
      <c r="B434" s="10" t="s">
        <v>861</v>
      </c>
      <c r="C434" s="13" t="s">
        <v>153</v>
      </c>
      <c r="D434" s="7" t="s">
        <v>1267</v>
      </c>
      <c r="E434" s="2" t="s">
        <v>140</v>
      </c>
      <c r="F434" s="2" t="s">
        <v>3</v>
      </c>
      <c r="G434" s="31"/>
      <c r="I4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4" t="str">
        <f>IF(tb_zakazchik[[#This Row],[Столбец1]]&lt;&gt;"",SUM($I$2:I434),"")</f>
        <v/>
      </c>
      <c r="K434" t="str">
        <f>IF(tb_zakazchik[[#This Row],[Столбец1]]&lt;&gt;"",tb_baza[[#This Row],[Гос. номер]],"")</f>
        <v/>
      </c>
    </row>
    <row r="435" spans="1:11" x14ac:dyDescent="0.25">
      <c r="A435" s="17" t="s">
        <v>24</v>
      </c>
      <c r="B435" s="10" t="s">
        <v>23</v>
      </c>
      <c r="C435" s="13" t="s">
        <v>153</v>
      </c>
      <c r="D435" s="7" t="s">
        <v>1267</v>
      </c>
      <c r="E435" s="2" t="s">
        <v>1306</v>
      </c>
      <c r="F435" s="2" t="s">
        <v>6</v>
      </c>
      <c r="G435" s="31"/>
      <c r="I4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5" t="str">
        <f>IF(tb_zakazchik[[#This Row],[Столбец1]]&lt;&gt;"",SUM($I$2:I435),"")</f>
        <v/>
      </c>
      <c r="K435" t="str">
        <f>IF(tb_zakazchik[[#This Row],[Столбец1]]&lt;&gt;"",tb_baza[[#This Row],[Гос. номер]],"")</f>
        <v/>
      </c>
    </row>
    <row r="436" spans="1:11" x14ac:dyDescent="0.25">
      <c r="A436" s="17" t="s">
        <v>858</v>
      </c>
      <c r="B436" s="10" t="s">
        <v>298</v>
      </c>
      <c r="C436" s="13" t="s">
        <v>153</v>
      </c>
      <c r="D436" s="7" t="s">
        <v>1267</v>
      </c>
      <c r="E436" s="2" t="s">
        <v>140</v>
      </c>
      <c r="F436" s="2" t="s">
        <v>13</v>
      </c>
      <c r="G436" s="31"/>
      <c r="I4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6" t="str">
        <f>IF(tb_zakazchik[[#This Row],[Столбец1]]&lt;&gt;"",SUM($I$2:I436),"")</f>
        <v/>
      </c>
      <c r="K436" t="str">
        <f>IF(tb_zakazchik[[#This Row],[Столбец1]]&lt;&gt;"",tb_baza[[#This Row],[Гос. номер]],"")</f>
        <v/>
      </c>
    </row>
    <row r="437" spans="1:11" x14ac:dyDescent="0.25">
      <c r="A437" s="17" t="s">
        <v>380</v>
      </c>
      <c r="B437" s="10" t="s">
        <v>379</v>
      </c>
      <c r="C437" s="13" t="s">
        <v>153</v>
      </c>
      <c r="D437" s="7" t="s">
        <v>1267</v>
      </c>
      <c r="E437" s="3"/>
      <c r="F437" s="3"/>
      <c r="G437" s="31"/>
      <c r="I4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7" t="str">
        <f>IF(tb_zakazchik[[#This Row],[Столбец1]]&lt;&gt;"",SUM($I$2:I437),"")</f>
        <v/>
      </c>
      <c r="K437" t="str">
        <f>IF(tb_zakazchik[[#This Row],[Столбец1]]&lt;&gt;"",tb_baza[[#This Row],[Гос. номер]],"")</f>
        <v/>
      </c>
    </row>
    <row r="438" spans="1:11" x14ac:dyDescent="0.25">
      <c r="A438" s="17" t="s">
        <v>78</v>
      </c>
      <c r="B438" s="10" t="s">
        <v>77</v>
      </c>
      <c r="C438" s="13" t="s">
        <v>153</v>
      </c>
      <c r="D438" s="8" t="s">
        <v>1289</v>
      </c>
      <c r="E438" s="2" t="s">
        <v>1306</v>
      </c>
      <c r="F438" s="2" t="s">
        <v>3</v>
      </c>
      <c r="G438" s="31"/>
      <c r="I4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8" t="str">
        <f>IF(tb_zakazchik[[#This Row],[Столбец1]]&lt;&gt;"",SUM($I$2:I438),"")</f>
        <v/>
      </c>
      <c r="K438" t="str">
        <f>IF(tb_zakazchik[[#This Row],[Столбец1]]&lt;&gt;"",tb_baza[[#This Row],[Гос. номер]],"")</f>
        <v/>
      </c>
    </row>
    <row r="439" spans="1:11" x14ac:dyDescent="0.25">
      <c r="A439" s="17" t="s">
        <v>304</v>
      </c>
      <c r="B439" s="10" t="s">
        <v>303</v>
      </c>
      <c r="C439" s="13" t="s">
        <v>153</v>
      </c>
      <c r="D439" s="7" t="s">
        <v>1289</v>
      </c>
      <c r="E439" s="2" t="s">
        <v>2</v>
      </c>
      <c r="F439" s="2" t="s">
        <v>13</v>
      </c>
      <c r="G439" s="31"/>
      <c r="I4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39" t="str">
        <f>IF(tb_zakazchik[[#This Row],[Столбец1]]&lt;&gt;"",SUM($I$2:I439),"")</f>
        <v/>
      </c>
      <c r="K439" t="str">
        <f>IF(tb_zakazchik[[#This Row],[Столбец1]]&lt;&gt;"",tb_baza[[#This Row],[Гос. номер]],"")</f>
        <v/>
      </c>
    </row>
    <row r="440" spans="1:11" x14ac:dyDescent="0.25">
      <c r="A440" s="17" t="s">
        <v>36</v>
      </c>
      <c r="B440" s="10" t="s">
        <v>35</v>
      </c>
      <c r="C440" s="13" t="s">
        <v>153</v>
      </c>
      <c r="D440" s="7" t="s">
        <v>1262</v>
      </c>
      <c r="E440" s="2" t="s">
        <v>1306</v>
      </c>
      <c r="F440" s="2" t="s">
        <v>3</v>
      </c>
      <c r="G440" s="31"/>
      <c r="I4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0" t="str">
        <f>IF(tb_zakazchik[[#This Row],[Столбец1]]&lt;&gt;"",SUM($I$2:I440),"")</f>
        <v/>
      </c>
      <c r="K440" t="str">
        <f>IF(tb_zakazchik[[#This Row],[Столбец1]]&lt;&gt;"",tb_baza[[#This Row],[Гос. номер]],"")</f>
        <v/>
      </c>
    </row>
    <row r="441" spans="1:11" x14ac:dyDescent="0.25">
      <c r="A441" s="17" t="s">
        <v>292</v>
      </c>
      <c r="B441" s="10" t="s">
        <v>291</v>
      </c>
      <c r="C441" s="13" t="s">
        <v>153</v>
      </c>
      <c r="D441" s="7" t="s">
        <v>1262</v>
      </c>
      <c r="E441" s="2" t="s">
        <v>1306</v>
      </c>
      <c r="F441" s="2" t="s">
        <v>3</v>
      </c>
      <c r="G441" s="31"/>
      <c r="I4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1" t="str">
        <f>IF(tb_zakazchik[[#This Row],[Столбец1]]&lt;&gt;"",SUM($I$2:I441),"")</f>
        <v/>
      </c>
      <c r="K441" t="str">
        <f>IF(tb_zakazchik[[#This Row],[Столбец1]]&lt;&gt;"",tb_baza[[#This Row],[Гос. номер]],"")</f>
        <v/>
      </c>
    </row>
    <row r="442" spans="1:11" x14ac:dyDescent="0.25">
      <c r="A442" s="17" t="s">
        <v>986</v>
      </c>
      <c r="B442" s="10" t="s">
        <v>984</v>
      </c>
      <c r="C442" s="13" t="s">
        <v>153</v>
      </c>
      <c r="D442" s="7" t="s">
        <v>1262</v>
      </c>
      <c r="E442" s="2" t="s">
        <v>1306</v>
      </c>
      <c r="F442" s="2" t="s">
        <v>6</v>
      </c>
      <c r="G442" s="31"/>
      <c r="I4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2" t="str">
        <f>IF(tb_zakazchik[[#This Row],[Столбец1]]&lt;&gt;"",SUM($I$2:I442),"")</f>
        <v/>
      </c>
      <c r="K442" t="str">
        <f>IF(tb_zakazchik[[#This Row],[Столбец1]]&lt;&gt;"",tb_baza[[#This Row],[Гос. номер]],"")</f>
        <v/>
      </c>
    </row>
    <row r="443" spans="1:11" x14ac:dyDescent="0.25">
      <c r="A443" s="17" t="s">
        <v>985</v>
      </c>
      <c r="B443" s="10" t="s">
        <v>984</v>
      </c>
      <c r="C443" s="13" t="s">
        <v>153</v>
      </c>
      <c r="D443" s="7" t="s">
        <v>1262</v>
      </c>
      <c r="E443" s="2" t="s">
        <v>12</v>
      </c>
      <c r="F443" s="2" t="s">
        <v>13</v>
      </c>
      <c r="G443" s="31"/>
      <c r="I4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3" t="str">
        <f>IF(tb_zakazchik[[#This Row],[Столбец1]]&lt;&gt;"",SUM($I$2:I443),"")</f>
        <v/>
      </c>
      <c r="K443" t="str">
        <f>IF(tb_zakazchik[[#This Row],[Столбец1]]&lt;&gt;"",tb_baza[[#This Row],[Гос. номер]],"")</f>
        <v/>
      </c>
    </row>
    <row r="444" spans="1:11" x14ac:dyDescent="0.25">
      <c r="A444" s="17" t="s">
        <v>355</v>
      </c>
      <c r="B444" s="10" t="s">
        <v>354</v>
      </c>
      <c r="C444" s="13" t="s">
        <v>153</v>
      </c>
      <c r="D444" s="8" t="s">
        <v>1015</v>
      </c>
      <c r="E444" s="2" t="s">
        <v>1307</v>
      </c>
      <c r="F444" s="3"/>
      <c r="G444" s="31"/>
      <c r="I4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4" t="str">
        <f>IF(tb_zakazchik[[#This Row],[Столбец1]]&lt;&gt;"",SUM($I$2:I444),"")</f>
        <v/>
      </c>
      <c r="K444" t="str">
        <f>IF(tb_zakazchik[[#This Row],[Столбец1]]&lt;&gt;"",tb_baza[[#This Row],[Гос. номер]],"")</f>
        <v/>
      </c>
    </row>
    <row r="445" spans="1:11" x14ac:dyDescent="0.25">
      <c r="A445" s="17" t="s">
        <v>378</v>
      </c>
      <c r="B445" s="10" t="s">
        <v>354</v>
      </c>
      <c r="C445" s="13" t="s">
        <v>153</v>
      </c>
      <c r="D445" s="8" t="s">
        <v>1015</v>
      </c>
      <c r="E445" s="2" t="s">
        <v>1307</v>
      </c>
      <c r="F445" s="3"/>
      <c r="G445" s="31"/>
      <c r="I4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5" t="str">
        <f>IF(tb_zakazchik[[#This Row],[Столбец1]]&lt;&gt;"",SUM($I$2:I445),"")</f>
        <v/>
      </c>
      <c r="K445" t="str">
        <f>IF(tb_zakazchik[[#This Row],[Столбец1]]&lt;&gt;"",tb_baza[[#This Row],[Гос. номер]],"")</f>
        <v/>
      </c>
    </row>
    <row r="446" spans="1:11" x14ac:dyDescent="0.25">
      <c r="A446" s="17" t="s">
        <v>776</v>
      </c>
      <c r="B446" s="10" t="s">
        <v>775</v>
      </c>
      <c r="C446" s="13" t="s">
        <v>153</v>
      </c>
      <c r="D446" s="7" t="s">
        <v>1015</v>
      </c>
      <c r="E446" s="2" t="s">
        <v>2</v>
      </c>
      <c r="F446" s="2" t="s">
        <v>3</v>
      </c>
      <c r="G446" s="31"/>
      <c r="I4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6" t="str">
        <f>IF(tb_zakazchik[[#This Row],[Столбец1]]&lt;&gt;"",SUM($I$2:I446),"")</f>
        <v/>
      </c>
      <c r="K446" t="str">
        <f>IF(tb_zakazchik[[#This Row],[Столбец1]]&lt;&gt;"",tb_baza[[#This Row],[Гос. номер]],"")</f>
        <v/>
      </c>
    </row>
    <row r="447" spans="1:11" x14ac:dyDescent="0.25">
      <c r="A447" s="17" t="s">
        <v>398</v>
      </c>
      <c r="B447" s="10" t="s">
        <v>397</v>
      </c>
      <c r="C447" s="13" t="s">
        <v>153</v>
      </c>
      <c r="D447" s="7" t="s">
        <v>1015</v>
      </c>
      <c r="E447" s="2" t="s">
        <v>2</v>
      </c>
      <c r="F447" s="2" t="s">
        <v>3</v>
      </c>
      <c r="G447" s="31"/>
      <c r="I4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7" t="str">
        <f>IF(tb_zakazchik[[#This Row],[Столбец1]]&lt;&gt;"",SUM($I$2:I447),"")</f>
        <v/>
      </c>
      <c r="K447" t="str">
        <f>IF(tb_zakazchik[[#This Row],[Столбец1]]&lt;&gt;"",tb_baza[[#This Row],[Гос. номер]],"")</f>
        <v/>
      </c>
    </row>
    <row r="448" spans="1:11" x14ac:dyDescent="0.25">
      <c r="A448" s="17" t="s">
        <v>704</v>
      </c>
      <c r="B448" s="10" t="s">
        <v>703</v>
      </c>
      <c r="C448" s="13" t="s">
        <v>153</v>
      </c>
      <c r="D448" s="8" t="s">
        <v>1015</v>
      </c>
      <c r="E448" s="3"/>
      <c r="F448" s="3"/>
      <c r="G448" s="31"/>
      <c r="I4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8" t="str">
        <f>IF(tb_zakazchik[[#This Row],[Столбец1]]&lt;&gt;"",SUM($I$2:I448),"")</f>
        <v/>
      </c>
      <c r="K448" t="str">
        <f>IF(tb_zakazchik[[#This Row],[Столбец1]]&lt;&gt;"",tb_baza[[#This Row],[Гос. номер]],"")</f>
        <v/>
      </c>
    </row>
    <row r="449" spans="1:11" x14ac:dyDescent="0.25">
      <c r="A449" s="17" t="s">
        <v>366</v>
      </c>
      <c r="B449" s="10" t="s">
        <v>365</v>
      </c>
      <c r="C449" s="13" t="s">
        <v>153</v>
      </c>
      <c r="D449" s="8" t="s">
        <v>1015</v>
      </c>
      <c r="E449" s="2" t="s">
        <v>1104</v>
      </c>
      <c r="F449" s="3"/>
      <c r="G449" s="31"/>
      <c r="I4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49" t="str">
        <f>IF(tb_zakazchik[[#This Row],[Столбец1]]&lt;&gt;"",SUM($I$2:I449),"")</f>
        <v/>
      </c>
      <c r="K449" t="str">
        <f>IF(tb_zakazchik[[#This Row],[Столбец1]]&lt;&gt;"",tb_baza[[#This Row],[Гос. номер]],"")</f>
        <v/>
      </c>
    </row>
    <row r="450" spans="1:11" x14ac:dyDescent="0.25">
      <c r="A450" s="17" t="s">
        <v>830</v>
      </c>
      <c r="B450" s="10" t="s">
        <v>14</v>
      </c>
      <c r="C450" s="13" t="s">
        <v>153</v>
      </c>
      <c r="D450" s="7" t="s">
        <v>1272</v>
      </c>
      <c r="E450" s="2" t="s">
        <v>1306</v>
      </c>
      <c r="F450" s="2" t="s">
        <v>3</v>
      </c>
      <c r="G450" s="31"/>
      <c r="I4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0" t="str">
        <f>IF(tb_zakazchik[[#This Row],[Столбец1]]&lt;&gt;"",SUM($I$2:I450),"")</f>
        <v/>
      </c>
      <c r="K450" t="str">
        <f>IF(tb_zakazchik[[#This Row],[Столбец1]]&lt;&gt;"",tb_baza[[#This Row],[Гос. номер]],"")</f>
        <v/>
      </c>
    </row>
    <row r="451" spans="1:11" x14ac:dyDescent="0.25">
      <c r="A451" s="17" t="s">
        <v>493</v>
      </c>
      <c r="B451" s="10" t="s">
        <v>492</v>
      </c>
      <c r="C451" s="13" t="s">
        <v>153</v>
      </c>
      <c r="D451" s="7" t="s">
        <v>1272</v>
      </c>
      <c r="E451" s="2" t="s">
        <v>1306</v>
      </c>
      <c r="F451" s="2" t="s">
        <v>3</v>
      </c>
      <c r="G451" s="31"/>
      <c r="I4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1" t="str">
        <f>IF(tb_zakazchik[[#This Row],[Столбец1]]&lt;&gt;"",SUM($I$2:I451),"")</f>
        <v/>
      </c>
      <c r="K451" t="str">
        <f>IF(tb_zakazchik[[#This Row],[Столбец1]]&lt;&gt;"",tb_baza[[#This Row],[Гос. номер]],"")</f>
        <v/>
      </c>
    </row>
    <row r="452" spans="1:11" x14ac:dyDescent="0.25">
      <c r="A452" s="17" t="s">
        <v>25</v>
      </c>
      <c r="B452" s="10" t="s">
        <v>14</v>
      </c>
      <c r="C452" s="13" t="s">
        <v>153</v>
      </c>
      <c r="D452" s="7" t="s">
        <v>1272</v>
      </c>
      <c r="E452" s="2" t="s">
        <v>1306</v>
      </c>
      <c r="F452" s="2" t="s">
        <v>3</v>
      </c>
      <c r="G452" s="31"/>
      <c r="I4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2" t="str">
        <f>IF(tb_zakazchik[[#This Row],[Столбец1]]&lt;&gt;"",SUM($I$2:I452),"")</f>
        <v/>
      </c>
      <c r="K452" t="str">
        <f>IF(tb_zakazchik[[#This Row],[Столбец1]]&lt;&gt;"",tb_baza[[#This Row],[Гос. номер]],"")</f>
        <v/>
      </c>
    </row>
    <row r="453" spans="1:11" x14ac:dyDescent="0.25">
      <c r="A453" s="17" t="s">
        <v>82</v>
      </c>
      <c r="B453" s="10" t="s">
        <v>14</v>
      </c>
      <c r="C453" s="13" t="s">
        <v>153</v>
      </c>
      <c r="D453" s="7" t="s">
        <v>1272</v>
      </c>
      <c r="E453" s="2" t="s">
        <v>1306</v>
      </c>
      <c r="F453" s="2" t="s">
        <v>3</v>
      </c>
      <c r="G453" s="31"/>
      <c r="I4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3" t="str">
        <f>IF(tb_zakazchik[[#This Row],[Столбец1]]&lt;&gt;"",SUM($I$2:I453),"")</f>
        <v/>
      </c>
      <c r="K453" t="str">
        <f>IF(tb_zakazchik[[#This Row],[Столбец1]]&lt;&gt;"",tb_baza[[#This Row],[Гос. номер]],"")</f>
        <v/>
      </c>
    </row>
    <row r="454" spans="1:11" x14ac:dyDescent="0.25">
      <c r="A454" s="17" t="s">
        <v>193</v>
      </c>
      <c r="B454" s="10" t="s">
        <v>26</v>
      </c>
      <c r="C454" s="13" t="s">
        <v>153</v>
      </c>
      <c r="D454" s="7" t="s">
        <v>1272</v>
      </c>
      <c r="E454" s="2" t="s">
        <v>12</v>
      </c>
      <c r="F454" s="2" t="s">
        <v>3</v>
      </c>
      <c r="G454" s="31"/>
      <c r="I4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4" t="str">
        <f>IF(tb_zakazchik[[#This Row],[Столбец1]]&lt;&gt;"",SUM($I$2:I454),"")</f>
        <v/>
      </c>
      <c r="K454" t="str">
        <f>IF(tb_zakazchik[[#This Row],[Столбец1]]&lt;&gt;"",tb_baza[[#This Row],[Гос. номер]],"")</f>
        <v/>
      </c>
    </row>
    <row r="455" spans="1:11" x14ac:dyDescent="0.25">
      <c r="A455" s="17" t="s">
        <v>875</v>
      </c>
      <c r="B455" s="10" t="s">
        <v>26</v>
      </c>
      <c r="C455" s="13" t="s">
        <v>153</v>
      </c>
      <c r="D455" s="7" t="s">
        <v>1272</v>
      </c>
      <c r="E455" s="2" t="s">
        <v>12</v>
      </c>
      <c r="F455" s="2" t="s">
        <v>3</v>
      </c>
      <c r="G455" s="31"/>
      <c r="I4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5" t="str">
        <f>IF(tb_zakazchik[[#This Row],[Столбец1]]&lt;&gt;"",SUM($I$2:I455),"")</f>
        <v/>
      </c>
      <c r="K455" t="str">
        <f>IF(tb_zakazchik[[#This Row],[Столбец1]]&lt;&gt;"",tb_baza[[#This Row],[Гос. номер]],"")</f>
        <v/>
      </c>
    </row>
    <row r="456" spans="1:11" x14ac:dyDescent="0.25">
      <c r="A456" s="17" t="s">
        <v>75</v>
      </c>
      <c r="B456" s="10" t="s">
        <v>26</v>
      </c>
      <c r="C456" s="13" t="s">
        <v>153</v>
      </c>
      <c r="D456" s="7" t="s">
        <v>1272</v>
      </c>
      <c r="E456" s="2" t="s">
        <v>12</v>
      </c>
      <c r="F456" s="2" t="s">
        <v>13</v>
      </c>
      <c r="G456" s="31"/>
      <c r="I4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6" t="str">
        <f>IF(tb_zakazchik[[#This Row],[Столбец1]]&lt;&gt;"",SUM($I$2:I456),"")</f>
        <v/>
      </c>
      <c r="K456" t="str">
        <f>IF(tb_zakazchik[[#This Row],[Столбец1]]&lt;&gt;"",tb_baza[[#This Row],[Гос. номер]],"")</f>
        <v/>
      </c>
    </row>
    <row r="457" spans="1:11" x14ac:dyDescent="0.25">
      <c r="A457" s="17" t="s">
        <v>712</v>
      </c>
      <c r="B457" s="10" t="s">
        <v>111</v>
      </c>
      <c r="C457" s="13" t="s">
        <v>153</v>
      </c>
      <c r="D457" s="7" t="s">
        <v>1273</v>
      </c>
      <c r="E457" s="2" t="s">
        <v>1306</v>
      </c>
      <c r="F457" s="2" t="s">
        <v>3</v>
      </c>
      <c r="G457" s="31"/>
      <c r="I4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7" t="str">
        <f>IF(tb_zakazchik[[#This Row],[Столбец1]]&lt;&gt;"",SUM($I$2:I457),"")</f>
        <v/>
      </c>
      <c r="K457" t="str">
        <f>IF(tb_zakazchik[[#This Row],[Столбец1]]&lt;&gt;"",tb_baza[[#This Row],[Гос. номер]],"")</f>
        <v/>
      </c>
    </row>
    <row r="458" spans="1:11" x14ac:dyDescent="0.25">
      <c r="A458" s="17" t="s">
        <v>112</v>
      </c>
      <c r="B458" s="10" t="s">
        <v>111</v>
      </c>
      <c r="C458" s="13" t="s">
        <v>153</v>
      </c>
      <c r="D458" s="7" t="s">
        <v>1273</v>
      </c>
      <c r="E458" s="2" t="s">
        <v>1306</v>
      </c>
      <c r="F458" s="2" t="s">
        <v>3</v>
      </c>
      <c r="G458" s="31"/>
      <c r="I4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8" t="str">
        <f>IF(tb_zakazchik[[#This Row],[Столбец1]]&lt;&gt;"",SUM($I$2:I458),"")</f>
        <v/>
      </c>
      <c r="K458" t="str">
        <f>IF(tb_zakazchik[[#This Row],[Столбец1]]&lt;&gt;"",tb_baza[[#This Row],[Гос. номер]],"")</f>
        <v/>
      </c>
    </row>
    <row r="459" spans="1:11" x14ac:dyDescent="0.25">
      <c r="A459" s="17" t="s">
        <v>1017</v>
      </c>
      <c r="B459" s="10" t="s">
        <v>1016</v>
      </c>
      <c r="C459" s="13" t="s">
        <v>153</v>
      </c>
      <c r="D459" s="7" t="s">
        <v>1273</v>
      </c>
      <c r="E459" s="2" t="s">
        <v>1306</v>
      </c>
      <c r="F459" s="2" t="s">
        <v>3</v>
      </c>
      <c r="G459" s="31"/>
      <c r="I4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59" t="str">
        <f>IF(tb_zakazchik[[#This Row],[Столбец1]]&lt;&gt;"",SUM($I$2:I459),"")</f>
        <v/>
      </c>
      <c r="K459" t="str">
        <f>IF(tb_zakazchik[[#This Row],[Столбец1]]&lt;&gt;"",tb_baza[[#This Row],[Гос. номер]],"")</f>
        <v/>
      </c>
    </row>
    <row r="460" spans="1:11" x14ac:dyDescent="0.25">
      <c r="A460" s="17" t="s">
        <v>586</v>
      </c>
      <c r="B460" s="10" t="s">
        <v>384</v>
      </c>
      <c r="C460" s="13" t="s">
        <v>153</v>
      </c>
      <c r="D460" s="7" t="s">
        <v>1273</v>
      </c>
      <c r="E460" s="2" t="s">
        <v>1307</v>
      </c>
      <c r="F460" s="2" t="s">
        <v>13</v>
      </c>
      <c r="G460" s="31"/>
      <c r="I4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0" t="str">
        <f>IF(tb_zakazchik[[#This Row],[Столбец1]]&lt;&gt;"",SUM($I$2:I460),"")</f>
        <v/>
      </c>
      <c r="K460" t="str">
        <f>IF(tb_zakazchik[[#This Row],[Столбец1]]&lt;&gt;"",tb_baza[[#This Row],[Гос. номер]],"")</f>
        <v/>
      </c>
    </row>
    <row r="461" spans="1:11" x14ac:dyDescent="0.25">
      <c r="A461" s="17" t="s">
        <v>274</v>
      </c>
      <c r="B461" s="10" t="s">
        <v>212</v>
      </c>
      <c r="C461" s="13" t="s">
        <v>153</v>
      </c>
      <c r="D461" s="7" t="s">
        <v>1302</v>
      </c>
      <c r="E461" s="2" t="s">
        <v>1306</v>
      </c>
      <c r="F461" s="2" t="s">
        <v>3</v>
      </c>
      <c r="G461" s="31"/>
      <c r="I4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1" t="str">
        <f>IF(tb_zakazchik[[#This Row],[Столбец1]]&lt;&gt;"",SUM($I$2:I461),"")</f>
        <v/>
      </c>
      <c r="K461" t="str">
        <f>IF(tb_zakazchik[[#This Row],[Столбец1]]&lt;&gt;"",tb_baza[[#This Row],[Гос. номер]],"")</f>
        <v/>
      </c>
    </row>
    <row r="462" spans="1:11" x14ac:dyDescent="0.25">
      <c r="A462" s="17" t="s">
        <v>1031</v>
      </c>
      <c r="B462" s="10" t="s">
        <v>1030</v>
      </c>
      <c r="C462" s="13" t="s">
        <v>153</v>
      </c>
      <c r="D462" s="7" t="s">
        <v>1264</v>
      </c>
      <c r="E462" s="2" t="s">
        <v>12</v>
      </c>
      <c r="F462" s="2" t="s">
        <v>13</v>
      </c>
      <c r="G462" s="31"/>
      <c r="I4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2" t="str">
        <f>IF(tb_zakazchik[[#This Row],[Столбец1]]&lt;&gt;"",SUM($I$2:I462),"")</f>
        <v/>
      </c>
      <c r="K462" t="str">
        <f>IF(tb_zakazchik[[#This Row],[Столбец1]]&lt;&gt;"",tb_baza[[#This Row],[Гос. номер]],"")</f>
        <v/>
      </c>
    </row>
    <row r="463" spans="1:11" x14ac:dyDescent="0.25">
      <c r="A463" s="17" t="s">
        <v>388</v>
      </c>
      <c r="B463" s="10" t="s">
        <v>115</v>
      </c>
      <c r="C463" s="13" t="s">
        <v>153</v>
      </c>
      <c r="D463" s="7" t="s">
        <v>1266</v>
      </c>
      <c r="E463" s="2" t="s">
        <v>1306</v>
      </c>
      <c r="F463" s="2" t="s">
        <v>3</v>
      </c>
      <c r="G463" s="31"/>
      <c r="I4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3" t="str">
        <f>IF(tb_zakazchik[[#This Row],[Столбец1]]&lt;&gt;"",SUM($I$2:I463),"")</f>
        <v/>
      </c>
      <c r="K463" t="str">
        <f>IF(tb_zakazchik[[#This Row],[Столбец1]]&lt;&gt;"",tb_baza[[#This Row],[Гос. номер]],"")</f>
        <v/>
      </c>
    </row>
    <row r="464" spans="1:11" x14ac:dyDescent="0.25">
      <c r="A464" s="17" t="s">
        <v>116</v>
      </c>
      <c r="B464" s="10" t="s">
        <v>115</v>
      </c>
      <c r="C464" s="13" t="s">
        <v>153</v>
      </c>
      <c r="D464" s="7" t="s">
        <v>1266</v>
      </c>
      <c r="E464" s="2" t="s">
        <v>1307</v>
      </c>
      <c r="F464" s="2" t="s">
        <v>3</v>
      </c>
      <c r="G464" s="31"/>
      <c r="I4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4" t="str">
        <f>IF(tb_zakazchik[[#This Row],[Столбец1]]&lt;&gt;"",SUM($I$2:I464),"")</f>
        <v/>
      </c>
      <c r="K464" t="str">
        <f>IF(tb_zakazchik[[#This Row],[Столбец1]]&lt;&gt;"",tb_baza[[#This Row],[Гос. номер]],"")</f>
        <v/>
      </c>
    </row>
    <row r="465" spans="1:11" x14ac:dyDescent="0.25">
      <c r="A465" s="17" t="s">
        <v>1014</v>
      </c>
      <c r="B465" s="10" t="s">
        <v>1013</v>
      </c>
      <c r="C465" s="13" t="s">
        <v>153</v>
      </c>
      <c r="D465" s="7" t="s">
        <v>1266</v>
      </c>
      <c r="E465" s="2" t="s">
        <v>2</v>
      </c>
      <c r="F465" s="2" t="s">
        <v>3</v>
      </c>
      <c r="G465" s="31"/>
      <c r="I4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5" t="str">
        <f>IF(tb_zakazchik[[#This Row],[Столбец1]]&lt;&gt;"",SUM($I$2:I465),"")</f>
        <v/>
      </c>
      <c r="K465" t="str">
        <f>IF(tb_zakazchik[[#This Row],[Столбец1]]&lt;&gt;"",tb_baza[[#This Row],[Гос. номер]],"")</f>
        <v/>
      </c>
    </row>
    <row r="466" spans="1:11" x14ac:dyDescent="0.25">
      <c r="A466" s="17" t="s">
        <v>436</v>
      </c>
      <c r="B466" s="10" t="s">
        <v>212</v>
      </c>
      <c r="C466" s="13" t="s">
        <v>153</v>
      </c>
      <c r="D466" s="7" t="s">
        <v>1270</v>
      </c>
      <c r="E466" s="2" t="s">
        <v>1306</v>
      </c>
      <c r="F466" s="2" t="s">
        <v>6</v>
      </c>
      <c r="G466" s="31"/>
      <c r="I4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6" t="str">
        <f>IF(tb_zakazchik[[#This Row],[Столбец1]]&lt;&gt;"",SUM($I$2:I466),"")</f>
        <v/>
      </c>
      <c r="K466" t="str">
        <f>IF(tb_zakazchik[[#This Row],[Столбец1]]&lt;&gt;"",tb_baza[[#This Row],[Гос. номер]],"")</f>
        <v/>
      </c>
    </row>
    <row r="467" spans="1:11" x14ac:dyDescent="0.25">
      <c r="A467" s="17" t="s">
        <v>1061</v>
      </c>
      <c r="B467" s="10" t="s">
        <v>1060</v>
      </c>
      <c r="C467" s="13" t="s">
        <v>153</v>
      </c>
      <c r="D467" s="7" t="s">
        <v>1270</v>
      </c>
      <c r="E467" s="2" t="s">
        <v>1306</v>
      </c>
      <c r="F467" s="2" t="s">
        <v>3</v>
      </c>
      <c r="G467" s="31"/>
      <c r="I4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7" t="str">
        <f>IF(tb_zakazchik[[#This Row],[Столбец1]]&lt;&gt;"",SUM($I$2:I467),"")</f>
        <v/>
      </c>
      <c r="K467" t="str">
        <f>IF(tb_zakazchik[[#This Row],[Столбец1]]&lt;&gt;"",tb_baza[[#This Row],[Гос. номер]],"")</f>
        <v/>
      </c>
    </row>
    <row r="468" spans="1:11" x14ac:dyDescent="0.25">
      <c r="A468" s="17" t="s">
        <v>142</v>
      </c>
      <c r="B468" s="10" t="s">
        <v>141</v>
      </c>
      <c r="C468" s="13" t="s">
        <v>153</v>
      </c>
      <c r="D468" s="7" t="s">
        <v>1270</v>
      </c>
      <c r="E468" s="2" t="s">
        <v>2</v>
      </c>
      <c r="F468" s="2" t="s">
        <v>3</v>
      </c>
      <c r="G468" s="31"/>
      <c r="I4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8" t="str">
        <f>IF(tb_zakazchik[[#This Row],[Столбец1]]&lt;&gt;"",SUM($I$2:I468),"")</f>
        <v/>
      </c>
      <c r="K468" t="str">
        <f>IF(tb_zakazchik[[#This Row],[Столбец1]]&lt;&gt;"",tb_baza[[#This Row],[Гос. номер]],"")</f>
        <v/>
      </c>
    </row>
    <row r="469" spans="1:11" x14ac:dyDescent="0.25">
      <c r="A469" s="17" t="s">
        <v>911</v>
      </c>
      <c r="B469" s="10" t="s">
        <v>141</v>
      </c>
      <c r="C469" s="13" t="s">
        <v>153</v>
      </c>
      <c r="D469" s="7" t="s">
        <v>1270</v>
      </c>
      <c r="E469" s="2" t="s">
        <v>2</v>
      </c>
      <c r="F469" s="2" t="s">
        <v>3</v>
      </c>
      <c r="G469" s="31"/>
      <c r="I4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69" t="str">
        <f>IF(tb_zakazchik[[#This Row],[Столбец1]]&lt;&gt;"",SUM($I$2:I469),"")</f>
        <v/>
      </c>
      <c r="K469" t="str">
        <f>IF(tb_zakazchik[[#This Row],[Столбец1]]&lt;&gt;"",tb_baza[[#This Row],[Гос. номер]],"")</f>
        <v/>
      </c>
    </row>
    <row r="470" spans="1:11" x14ac:dyDescent="0.25">
      <c r="A470" s="17" t="s">
        <v>1125</v>
      </c>
      <c r="B470" s="10" t="s">
        <v>79</v>
      </c>
      <c r="C470" s="13" t="s">
        <v>153</v>
      </c>
      <c r="D470" s="7" t="s">
        <v>1276</v>
      </c>
      <c r="E470" s="2" t="s">
        <v>1306</v>
      </c>
      <c r="F470" s="2" t="s">
        <v>3</v>
      </c>
      <c r="G470" s="31"/>
      <c r="I4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0" t="str">
        <f>IF(tb_zakazchik[[#This Row],[Столбец1]]&lt;&gt;"",SUM($I$2:I470),"")</f>
        <v/>
      </c>
      <c r="K470" t="str">
        <f>IF(tb_zakazchik[[#This Row],[Столбец1]]&lt;&gt;"",tb_baza[[#This Row],[Гос. номер]],"")</f>
        <v/>
      </c>
    </row>
    <row r="471" spans="1:11" x14ac:dyDescent="0.25">
      <c r="A471" s="17" t="s">
        <v>1074</v>
      </c>
      <c r="B471" s="10" t="s">
        <v>79</v>
      </c>
      <c r="C471" s="13" t="s">
        <v>153</v>
      </c>
      <c r="D471" s="7" t="s">
        <v>1276</v>
      </c>
      <c r="E471" s="2" t="s">
        <v>1306</v>
      </c>
      <c r="F471" s="2" t="s">
        <v>3</v>
      </c>
      <c r="G471" s="31"/>
      <c r="I4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1" t="str">
        <f>IF(tb_zakazchik[[#This Row],[Столбец1]]&lt;&gt;"",SUM($I$2:I471),"")</f>
        <v/>
      </c>
      <c r="K471" t="str">
        <f>IF(tb_zakazchik[[#This Row],[Столбец1]]&lt;&gt;"",tb_baza[[#This Row],[Гос. номер]],"")</f>
        <v/>
      </c>
    </row>
    <row r="472" spans="1:11" x14ac:dyDescent="0.25">
      <c r="A472" s="17" t="s">
        <v>1179</v>
      </c>
      <c r="B472" s="10" t="s">
        <v>79</v>
      </c>
      <c r="C472" s="13" t="s">
        <v>153</v>
      </c>
      <c r="D472" s="7" t="s">
        <v>1276</v>
      </c>
      <c r="E472" s="2" t="s">
        <v>1306</v>
      </c>
      <c r="F472" s="2" t="s">
        <v>3</v>
      </c>
      <c r="G472" s="31"/>
      <c r="I4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2" t="str">
        <f>IF(tb_zakazchik[[#This Row],[Столбец1]]&lt;&gt;"",SUM($I$2:I472),"")</f>
        <v/>
      </c>
      <c r="K472" t="str">
        <f>IF(tb_zakazchik[[#This Row],[Столбец1]]&lt;&gt;"",tb_baza[[#This Row],[Гос. номер]],"")</f>
        <v/>
      </c>
    </row>
    <row r="473" spans="1:11" x14ac:dyDescent="0.25">
      <c r="A473" s="17" t="s">
        <v>1136</v>
      </c>
      <c r="B473" s="10" t="s">
        <v>79</v>
      </c>
      <c r="C473" s="13" t="s">
        <v>153</v>
      </c>
      <c r="D473" s="7" t="s">
        <v>1276</v>
      </c>
      <c r="E473" s="2" t="s">
        <v>1306</v>
      </c>
      <c r="F473" s="2" t="s">
        <v>3</v>
      </c>
      <c r="G473" s="31"/>
      <c r="I4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3" t="str">
        <f>IF(tb_zakazchik[[#This Row],[Столбец1]]&lt;&gt;"",SUM($I$2:I473),"")</f>
        <v/>
      </c>
      <c r="K473" t="str">
        <f>IF(tb_zakazchik[[#This Row],[Столбец1]]&lt;&gt;"",tb_baza[[#This Row],[Гос. номер]],"")</f>
        <v/>
      </c>
    </row>
    <row r="474" spans="1:11" x14ac:dyDescent="0.25">
      <c r="A474" s="17" t="s">
        <v>313</v>
      </c>
      <c r="B474" s="10" t="s">
        <v>79</v>
      </c>
      <c r="C474" s="13" t="s">
        <v>153</v>
      </c>
      <c r="D474" s="7" t="s">
        <v>1276</v>
      </c>
      <c r="E474" s="2" t="s">
        <v>1306</v>
      </c>
      <c r="F474" s="2" t="s">
        <v>3</v>
      </c>
      <c r="G474" s="31"/>
      <c r="I4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4" t="str">
        <f>IF(tb_zakazchik[[#This Row],[Столбец1]]&lt;&gt;"",SUM($I$2:I474),"")</f>
        <v/>
      </c>
      <c r="K474" t="str">
        <f>IF(tb_zakazchik[[#This Row],[Столбец1]]&lt;&gt;"",tb_baza[[#This Row],[Гос. номер]],"")</f>
        <v/>
      </c>
    </row>
    <row r="475" spans="1:11" x14ac:dyDescent="0.25">
      <c r="A475" s="17" t="s">
        <v>1111</v>
      </c>
      <c r="B475" s="10" t="s">
        <v>79</v>
      </c>
      <c r="C475" s="13" t="s">
        <v>153</v>
      </c>
      <c r="D475" s="7" t="s">
        <v>1276</v>
      </c>
      <c r="E475" s="2" t="s">
        <v>1306</v>
      </c>
      <c r="F475" s="2" t="s">
        <v>3</v>
      </c>
      <c r="G475" s="31"/>
      <c r="I4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5" t="str">
        <f>IF(tb_zakazchik[[#This Row],[Столбец1]]&lt;&gt;"",SUM($I$2:I475),"")</f>
        <v/>
      </c>
      <c r="K475" t="str">
        <f>IF(tb_zakazchik[[#This Row],[Столбец1]]&lt;&gt;"",tb_baza[[#This Row],[Гос. номер]],"")</f>
        <v/>
      </c>
    </row>
    <row r="476" spans="1:11" x14ac:dyDescent="0.25">
      <c r="A476" s="17" t="s">
        <v>1164</v>
      </c>
      <c r="B476" s="10" t="s">
        <v>79</v>
      </c>
      <c r="C476" s="13" t="s">
        <v>153</v>
      </c>
      <c r="D476" s="7" t="s">
        <v>1276</v>
      </c>
      <c r="E476" s="2" t="s">
        <v>1306</v>
      </c>
      <c r="F476" s="2" t="s">
        <v>3</v>
      </c>
      <c r="G476" s="31"/>
      <c r="I4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6" t="str">
        <f>IF(tb_zakazchik[[#This Row],[Столбец1]]&lt;&gt;"",SUM($I$2:I476),"")</f>
        <v/>
      </c>
      <c r="K476" t="str">
        <f>IF(tb_zakazchik[[#This Row],[Столбец1]]&lt;&gt;"",tb_baza[[#This Row],[Гос. номер]],"")</f>
        <v/>
      </c>
    </row>
    <row r="477" spans="1:11" x14ac:dyDescent="0.25">
      <c r="A477" s="17" t="s">
        <v>81</v>
      </c>
      <c r="B477" s="10" t="s">
        <v>79</v>
      </c>
      <c r="C477" s="13" t="s">
        <v>153</v>
      </c>
      <c r="D477" s="7" t="s">
        <v>1276</v>
      </c>
      <c r="E477" s="2" t="s">
        <v>1306</v>
      </c>
      <c r="F477" s="2" t="s">
        <v>3</v>
      </c>
      <c r="G477" s="31"/>
      <c r="I4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7" t="str">
        <f>IF(tb_zakazchik[[#This Row],[Столбец1]]&lt;&gt;"",SUM($I$2:I477),"")</f>
        <v/>
      </c>
      <c r="K477" t="str">
        <f>IF(tb_zakazchik[[#This Row],[Столбец1]]&lt;&gt;"",tb_baza[[#This Row],[Гос. номер]],"")</f>
        <v/>
      </c>
    </row>
    <row r="478" spans="1:11" x14ac:dyDescent="0.25">
      <c r="A478" s="17" t="s">
        <v>1165</v>
      </c>
      <c r="B478" s="10" t="s">
        <v>79</v>
      </c>
      <c r="C478" s="13" t="s">
        <v>153</v>
      </c>
      <c r="D478" s="7" t="s">
        <v>1276</v>
      </c>
      <c r="E478" s="2" t="s">
        <v>1306</v>
      </c>
      <c r="F478" s="2" t="s">
        <v>3</v>
      </c>
      <c r="G478" s="31"/>
      <c r="I4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8" t="str">
        <f>IF(tb_zakazchik[[#This Row],[Столбец1]]&lt;&gt;"",SUM($I$2:I478),"")</f>
        <v/>
      </c>
      <c r="K478" t="str">
        <f>IF(tb_zakazchik[[#This Row],[Столбец1]]&lt;&gt;"",tb_baza[[#This Row],[Гос. номер]],"")</f>
        <v/>
      </c>
    </row>
    <row r="479" spans="1:11" x14ac:dyDescent="0.25">
      <c r="A479" s="17" t="s">
        <v>1171</v>
      </c>
      <c r="B479" s="10" t="s">
        <v>79</v>
      </c>
      <c r="C479" s="13" t="s">
        <v>153</v>
      </c>
      <c r="D479" s="7" t="s">
        <v>1276</v>
      </c>
      <c r="E479" s="2" t="s">
        <v>1306</v>
      </c>
      <c r="F479" s="2" t="s">
        <v>6</v>
      </c>
      <c r="G479" s="31"/>
      <c r="I4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79" t="str">
        <f>IF(tb_zakazchik[[#This Row],[Столбец1]]&lt;&gt;"",SUM($I$2:I479),"")</f>
        <v/>
      </c>
      <c r="K479" t="str">
        <f>IF(tb_zakazchik[[#This Row],[Столбец1]]&lt;&gt;"",tb_baza[[#This Row],[Гос. номер]],"")</f>
        <v/>
      </c>
    </row>
    <row r="480" spans="1:11" x14ac:dyDescent="0.25">
      <c r="A480" s="17" t="s">
        <v>1120</v>
      </c>
      <c r="B480" s="10" t="s">
        <v>79</v>
      </c>
      <c r="C480" s="13" t="s">
        <v>153</v>
      </c>
      <c r="D480" s="7" t="s">
        <v>1276</v>
      </c>
      <c r="E480" s="2" t="s">
        <v>1306</v>
      </c>
      <c r="F480" s="2" t="s">
        <v>3</v>
      </c>
      <c r="G480" s="31"/>
      <c r="I4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0" t="str">
        <f>IF(tb_zakazchik[[#This Row],[Столбец1]]&lt;&gt;"",SUM($I$2:I480),"")</f>
        <v/>
      </c>
      <c r="K480" t="str">
        <f>IF(tb_zakazchik[[#This Row],[Столбец1]]&lt;&gt;"",tb_baza[[#This Row],[Гос. номер]],"")</f>
        <v/>
      </c>
    </row>
    <row r="481" spans="1:11" x14ac:dyDescent="0.25">
      <c r="A481" s="17" t="s">
        <v>1067</v>
      </c>
      <c r="B481" s="10" t="s">
        <v>79</v>
      </c>
      <c r="C481" s="13" t="s">
        <v>153</v>
      </c>
      <c r="D481" s="7" t="s">
        <v>1276</v>
      </c>
      <c r="E481" s="2" t="s">
        <v>1306</v>
      </c>
      <c r="F481" s="2" t="s">
        <v>6</v>
      </c>
      <c r="G481" s="31"/>
      <c r="I4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1" t="str">
        <f>IF(tb_zakazchik[[#This Row],[Столбец1]]&lt;&gt;"",SUM($I$2:I481),"")</f>
        <v/>
      </c>
      <c r="K481" t="str">
        <f>IF(tb_zakazchik[[#This Row],[Столбец1]]&lt;&gt;"",tb_baza[[#This Row],[Гос. номер]],"")</f>
        <v/>
      </c>
    </row>
    <row r="482" spans="1:11" x14ac:dyDescent="0.25">
      <c r="A482" s="17" t="s">
        <v>1081</v>
      </c>
      <c r="B482" s="10" t="s">
        <v>79</v>
      </c>
      <c r="C482" s="13" t="s">
        <v>153</v>
      </c>
      <c r="D482" s="7" t="s">
        <v>1276</v>
      </c>
      <c r="E482" s="2" t="s">
        <v>1306</v>
      </c>
      <c r="F482" s="2" t="s">
        <v>3</v>
      </c>
      <c r="G482" s="31"/>
      <c r="I4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2" t="str">
        <f>IF(tb_zakazchik[[#This Row],[Столбец1]]&lt;&gt;"",SUM($I$2:I482),"")</f>
        <v/>
      </c>
      <c r="K482" t="str">
        <f>IF(tb_zakazchik[[#This Row],[Столбец1]]&lt;&gt;"",tb_baza[[#This Row],[Гос. номер]],"")</f>
        <v/>
      </c>
    </row>
    <row r="483" spans="1:11" x14ac:dyDescent="0.25">
      <c r="A483" s="17" t="s">
        <v>80</v>
      </c>
      <c r="B483" s="10" t="s">
        <v>79</v>
      </c>
      <c r="C483" s="13" t="s">
        <v>153</v>
      </c>
      <c r="D483" s="7" t="s">
        <v>1276</v>
      </c>
      <c r="E483" s="2" t="s">
        <v>1306</v>
      </c>
      <c r="F483" s="2" t="s">
        <v>6</v>
      </c>
      <c r="G483" s="31"/>
      <c r="I4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3" t="str">
        <f>IF(tb_zakazchik[[#This Row],[Столбец1]]&lt;&gt;"",SUM($I$2:I483),"")</f>
        <v/>
      </c>
      <c r="K483" t="str">
        <f>IF(tb_zakazchik[[#This Row],[Столбец1]]&lt;&gt;"",tb_baza[[#This Row],[Гос. номер]],"")</f>
        <v/>
      </c>
    </row>
    <row r="484" spans="1:11" x14ac:dyDescent="0.25">
      <c r="A484" s="17" t="s">
        <v>1153</v>
      </c>
      <c r="B484" s="10" t="s">
        <v>79</v>
      </c>
      <c r="C484" s="13" t="s">
        <v>153</v>
      </c>
      <c r="D484" s="7" t="s">
        <v>1276</v>
      </c>
      <c r="E484" s="2" t="s">
        <v>1306</v>
      </c>
      <c r="F484" s="2" t="s">
        <v>3</v>
      </c>
      <c r="G484" s="31"/>
      <c r="I4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4" t="str">
        <f>IF(tb_zakazchik[[#This Row],[Столбец1]]&lt;&gt;"",SUM($I$2:I484),"")</f>
        <v/>
      </c>
      <c r="K484" t="str">
        <f>IF(tb_zakazchik[[#This Row],[Столбец1]]&lt;&gt;"",tb_baza[[#This Row],[Гос. номер]],"")</f>
        <v/>
      </c>
    </row>
    <row r="485" spans="1:11" x14ac:dyDescent="0.25">
      <c r="A485" s="17" t="s">
        <v>1116</v>
      </c>
      <c r="B485" s="10" t="s">
        <v>79</v>
      </c>
      <c r="C485" s="13" t="s">
        <v>153</v>
      </c>
      <c r="D485" s="7" t="s">
        <v>1276</v>
      </c>
      <c r="E485" s="2" t="s">
        <v>1306</v>
      </c>
      <c r="F485" s="2" t="s">
        <v>3</v>
      </c>
      <c r="G485" s="31"/>
      <c r="I4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5" t="str">
        <f>IF(tb_zakazchik[[#This Row],[Столбец1]]&lt;&gt;"",SUM($I$2:I485),"")</f>
        <v/>
      </c>
      <c r="K485" t="str">
        <f>IF(tb_zakazchik[[#This Row],[Столбец1]]&lt;&gt;"",tb_baza[[#This Row],[Гос. номер]],"")</f>
        <v/>
      </c>
    </row>
    <row r="486" spans="1:11" x14ac:dyDescent="0.25">
      <c r="A486" s="17" t="s">
        <v>1126</v>
      </c>
      <c r="B486" s="10" t="s">
        <v>79</v>
      </c>
      <c r="C486" s="13" t="s">
        <v>153</v>
      </c>
      <c r="D486" s="7" t="s">
        <v>1276</v>
      </c>
      <c r="E486" s="2" t="s">
        <v>1306</v>
      </c>
      <c r="F486" s="2" t="s">
        <v>6</v>
      </c>
      <c r="G486" s="31"/>
      <c r="I4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6" t="str">
        <f>IF(tb_zakazchik[[#This Row],[Столбец1]]&lt;&gt;"",SUM($I$2:I486),"")</f>
        <v/>
      </c>
      <c r="K486" t="str">
        <f>IF(tb_zakazchik[[#This Row],[Столбец1]]&lt;&gt;"",tb_baza[[#This Row],[Гос. номер]],"")</f>
        <v/>
      </c>
    </row>
    <row r="487" spans="1:11" x14ac:dyDescent="0.25">
      <c r="A487" s="17" t="s">
        <v>210</v>
      </c>
      <c r="B487" s="10" t="s">
        <v>79</v>
      </c>
      <c r="C487" s="13" t="s">
        <v>153</v>
      </c>
      <c r="D487" s="7" t="s">
        <v>1276</v>
      </c>
      <c r="E487" s="2" t="s">
        <v>1306</v>
      </c>
      <c r="F487" s="2" t="s">
        <v>3</v>
      </c>
      <c r="G487" s="31"/>
      <c r="I4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7" t="str">
        <f>IF(tb_zakazchik[[#This Row],[Столбец1]]&lt;&gt;"",SUM($I$2:I487),"")</f>
        <v/>
      </c>
      <c r="K487" t="str">
        <f>IF(tb_zakazchik[[#This Row],[Столбец1]]&lt;&gt;"",tb_baza[[#This Row],[Гос. номер]],"")</f>
        <v/>
      </c>
    </row>
    <row r="488" spans="1:11" x14ac:dyDescent="0.25">
      <c r="A488" s="17" t="s">
        <v>1092</v>
      </c>
      <c r="B488" s="10" t="s">
        <v>79</v>
      </c>
      <c r="C488" s="13" t="s">
        <v>153</v>
      </c>
      <c r="D488" s="7" t="s">
        <v>1276</v>
      </c>
      <c r="E488" s="2" t="s">
        <v>1306</v>
      </c>
      <c r="F488" s="2" t="s">
        <v>3</v>
      </c>
      <c r="G488" s="31"/>
      <c r="I4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8" t="str">
        <f>IF(tb_zakazchik[[#This Row],[Столбец1]]&lt;&gt;"",SUM($I$2:I488),"")</f>
        <v/>
      </c>
      <c r="K488" t="str">
        <f>IF(tb_zakazchik[[#This Row],[Столбец1]]&lt;&gt;"",tb_baza[[#This Row],[Гос. номер]],"")</f>
        <v/>
      </c>
    </row>
    <row r="489" spans="1:11" x14ac:dyDescent="0.25">
      <c r="A489" s="17" t="s">
        <v>1063</v>
      </c>
      <c r="B489" s="10" t="s">
        <v>79</v>
      </c>
      <c r="C489" s="13" t="s">
        <v>153</v>
      </c>
      <c r="D489" s="7" t="s">
        <v>1276</v>
      </c>
      <c r="E489" s="2" t="s">
        <v>1306</v>
      </c>
      <c r="F489" s="2" t="s">
        <v>3</v>
      </c>
      <c r="G489" s="31"/>
      <c r="I4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89" t="str">
        <f>IF(tb_zakazchik[[#This Row],[Столбец1]]&lt;&gt;"",SUM($I$2:I489),"")</f>
        <v/>
      </c>
      <c r="K489" t="str">
        <f>IF(tb_zakazchik[[#This Row],[Столбец1]]&lt;&gt;"",tb_baza[[#This Row],[Гос. номер]],"")</f>
        <v/>
      </c>
    </row>
    <row r="490" spans="1:11" x14ac:dyDescent="0.25">
      <c r="A490" s="17" t="s">
        <v>1113</v>
      </c>
      <c r="B490" s="10" t="s">
        <v>79</v>
      </c>
      <c r="C490" s="13" t="s">
        <v>153</v>
      </c>
      <c r="D490" s="7" t="s">
        <v>1276</v>
      </c>
      <c r="E490" s="2" t="s">
        <v>1306</v>
      </c>
      <c r="F490" s="2" t="s">
        <v>3</v>
      </c>
      <c r="G490" s="31"/>
      <c r="I4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0" t="str">
        <f>IF(tb_zakazchik[[#This Row],[Столбец1]]&lt;&gt;"",SUM($I$2:I490),"")</f>
        <v/>
      </c>
      <c r="K490" t="str">
        <f>IF(tb_zakazchik[[#This Row],[Столбец1]]&lt;&gt;"",tb_baza[[#This Row],[Гос. номер]],"")</f>
        <v/>
      </c>
    </row>
    <row r="491" spans="1:11" x14ac:dyDescent="0.25">
      <c r="A491" s="17" t="s">
        <v>314</v>
      </c>
      <c r="B491" s="10" t="s">
        <v>79</v>
      </c>
      <c r="C491" s="13" t="s">
        <v>153</v>
      </c>
      <c r="D491" s="7" t="s">
        <v>1276</v>
      </c>
      <c r="E491" s="2" t="s">
        <v>1306</v>
      </c>
      <c r="F491" s="2" t="s">
        <v>3</v>
      </c>
      <c r="G491" s="31"/>
      <c r="I4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1" t="str">
        <f>IF(tb_zakazchik[[#This Row],[Столбец1]]&lt;&gt;"",SUM($I$2:I491),"")</f>
        <v/>
      </c>
      <c r="K491" t="str">
        <f>IF(tb_zakazchik[[#This Row],[Столбец1]]&lt;&gt;"",tb_baza[[#This Row],[Гос. номер]],"")</f>
        <v/>
      </c>
    </row>
    <row r="492" spans="1:11" x14ac:dyDescent="0.25">
      <c r="A492" s="17" t="s">
        <v>1190</v>
      </c>
      <c r="B492" s="10" t="s">
        <v>79</v>
      </c>
      <c r="C492" s="13" t="s">
        <v>153</v>
      </c>
      <c r="D492" s="7" t="s">
        <v>1276</v>
      </c>
      <c r="E492" s="2" t="s">
        <v>1306</v>
      </c>
      <c r="F492" s="2" t="s">
        <v>3</v>
      </c>
      <c r="G492" s="31"/>
      <c r="I4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2" t="str">
        <f>IF(tb_zakazchik[[#This Row],[Столбец1]]&lt;&gt;"",SUM($I$2:I492),"")</f>
        <v/>
      </c>
      <c r="K492" t="str">
        <f>IF(tb_zakazchik[[#This Row],[Столбец1]]&lt;&gt;"",tb_baza[[#This Row],[Гос. номер]],"")</f>
        <v/>
      </c>
    </row>
    <row r="493" spans="1:11" x14ac:dyDescent="0.25">
      <c r="A493" s="17" t="s">
        <v>1149</v>
      </c>
      <c r="B493" s="10" t="s">
        <v>79</v>
      </c>
      <c r="C493" s="13" t="s">
        <v>153</v>
      </c>
      <c r="D493" s="7" t="s">
        <v>1276</v>
      </c>
      <c r="E493" s="2" t="s">
        <v>1306</v>
      </c>
      <c r="F493" s="2" t="s">
        <v>3</v>
      </c>
      <c r="G493" s="31"/>
      <c r="I4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3" t="str">
        <f>IF(tb_zakazchik[[#This Row],[Столбец1]]&lt;&gt;"",SUM($I$2:I493),"")</f>
        <v/>
      </c>
      <c r="K493" t="str">
        <f>IF(tb_zakazchik[[#This Row],[Столбец1]]&lt;&gt;"",tb_baza[[#This Row],[Гос. номер]],"")</f>
        <v/>
      </c>
    </row>
    <row r="494" spans="1:11" x14ac:dyDescent="0.25">
      <c r="A494" s="17" t="s">
        <v>1163</v>
      </c>
      <c r="B494" s="10" t="s">
        <v>79</v>
      </c>
      <c r="C494" s="13" t="s">
        <v>153</v>
      </c>
      <c r="D494" s="7" t="s">
        <v>1276</v>
      </c>
      <c r="E494" s="2" t="s">
        <v>1306</v>
      </c>
      <c r="F494" s="2" t="s">
        <v>6</v>
      </c>
      <c r="G494" s="31"/>
      <c r="I4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4" t="str">
        <f>IF(tb_zakazchik[[#This Row],[Столбец1]]&lt;&gt;"",SUM($I$2:I494),"")</f>
        <v/>
      </c>
      <c r="K494" t="str">
        <f>IF(tb_zakazchik[[#This Row],[Столбец1]]&lt;&gt;"",tb_baza[[#This Row],[Гос. номер]],"")</f>
        <v/>
      </c>
    </row>
    <row r="495" spans="1:11" x14ac:dyDescent="0.25">
      <c r="A495" s="17" t="s">
        <v>117</v>
      </c>
      <c r="B495" s="10" t="s">
        <v>79</v>
      </c>
      <c r="C495" s="13" t="s">
        <v>153</v>
      </c>
      <c r="D495" s="7" t="s">
        <v>1276</v>
      </c>
      <c r="E495" s="2" t="s">
        <v>1306</v>
      </c>
      <c r="F495" s="2" t="s">
        <v>3</v>
      </c>
      <c r="G495" s="31"/>
      <c r="I4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5" t="str">
        <f>IF(tb_zakazchik[[#This Row],[Столбец1]]&lt;&gt;"",SUM($I$2:I495),"")</f>
        <v/>
      </c>
      <c r="K495" t="str">
        <f>IF(tb_zakazchik[[#This Row],[Столбец1]]&lt;&gt;"",tb_baza[[#This Row],[Гос. номер]],"")</f>
        <v/>
      </c>
    </row>
    <row r="496" spans="1:11" x14ac:dyDescent="0.25">
      <c r="A496" s="17" t="s">
        <v>1145</v>
      </c>
      <c r="B496" s="10" t="s">
        <v>79</v>
      </c>
      <c r="C496" s="13" t="s">
        <v>153</v>
      </c>
      <c r="D496" s="7" t="s">
        <v>1276</v>
      </c>
      <c r="E496" s="2" t="s">
        <v>1306</v>
      </c>
      <c r="F496" s="2" t="s">
        <v>3</v>
      </c>
      <c r="G496" s="31"/>
      <c r="I4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6" t="str">
        <f>IF(tb_zakazchik[[#This Row],[Столбец1]]&lt;&gt;"",SUM($I$2:I496),"")</f>
        <v/>
      </c>
      <c r="K496" t="str">
        <f>IF(tb_zakazchik[[#This Row],[Столбец1]]&lt;&gt;"",tb_baza[[#This Row],[Гос. номер]],"")</f>
        <v/>
      </c>
    </row>
    <row r="497" spans="1:11" x14ac:dyDescent="0.25">
      <c r="A497" s="17" t="s">
        <v>1170</v>
      </c>
      <c r="B497" s="10" t="s">
        <v>79</v>
      </c>
      <c r="C497" s="13" t="s">
        <v>153</v>
      </c>
      <c r="D497" s="7" t="s">
        <v>1276</v>
      </c>
      <c r="E497" s="2" t="s">
        <v>1306</v>
      </c>
      <c r="F497" s="2" t="s">
        <v>3</v>
      </c>
      <c r="G497" s="31"/>
      <c r="I4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7" t="str">
        <f>IF(tb_zakazchik[[#This Row],[Столбец1]]&lt;&gt;"",SUM($I$2:I497),"")</f>
        <v/>
      </c>
      <c r="K497" t="str">
        <f>IF(tb_zakazchik[[#This Row],[Столбец1]]&lt;&gt;"",tb_baza[[#This Row],[Гос. номер]],"")</f>
        <v/>
      </c>
    </row>
    <row r="498" spans="1:11" x14ac:dyDescent="0.25">
      <c r="A498" s="17" t="s">
        <v>1054</v>
      </c>
      <c r="B498" s="10" t="s">
        <v>79</v>
      </c>
      <c r="C498" s="13" t="s">
        <v>153</v>
      </c>
      <c r="D498" s="7" t="s">
        <v>1276</v>
      </c>
      <c r="E498" s="2" t="s">
        <v>1306</v>
      </c>
      <c r="F498" s="2" t="s">
        <v>3</v>
      </c>
      <c r="G498" s="31"/>
      <c r="I4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8" t="str">
        <f>IF(tb_zakazchik[[#This Row],[Столбец1]]&lt;&gt;"",SUM($I$2:I498),"")</f>
        <v/>
      </c>
      <c r="K498" t="str">
        <f>IF(tb_zakazchik[[#This Row],[Столбец1]]&lt;&gt;"",tb_baza[[#This Row],[Гос. номер]],"")</f>
        <v/>
      </c>
    </row>
    <row r="499" spans="1:11" x14ac:dyDescent="0.25">
      <c r="A499" s="17" t="s">
        <v>1058</v>
      </c>
      <c r="B499" s="10" t="s">
        <v>79</v>
      </c>
      <c r="C499" s="13" t="s">
        <v>153</v>
      </c>
      <c r="D499" s="7" t="s">
        <v>1276</v>
      </c>
      <c r="E499" s="2" t="s">
        <v>1306</v>
      </c>
      <c r="F499" s="2" t="s">
        <v>3</v>
      </c>
      <c r="G499" s="31"/>
      <c r="I4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499" t="str">
        <f>IF(tb_zakazchik[[#This Row],[Столбец1]]&lt;&gt;"",SUM($I$2:I499),"")</f>
        <v/>
      </c>
      <c r="K499" t="str">
        <f>IF(tb_zakazchik[[#This Row],[Столбец1]]&lt;&gt;"",tb_baza[[#This Row],[Гос. номер]],"")</f>
        <v/>
      </c>
    </row>
    <row r="500" spans="1:11" x14ac:dyDescent="0.25">
      <c r="A500" s="17" t="s">
        <v>1119</v>
      </c>
      <c r="B500" s="10" t="s">
        <v>79</v>
      </c>
      <c r="C500" s="13" t="s">
        <v>153</v>
      </c>
      <c r="D500" s="7" t="s">
        <v>1276</v>
      </c>
      <c r="E500" s="2" t="s">
        <v>1306</v>
      </c>
      <c r="F500" s="2" t="s">
        <v>3</v>
      </c>
      <c r="G500" s="31"/>
      <c r="I5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0" t="str">
        <f>IF(tb_zakazchik[[#This Row],[Столбец1]]&lt;&gt;"",SUM($I$2:I500),"")</f>
        <v/>
      </c>
      <c r="K500" t="str">
        <f>IF(tb_zakazchik[[#This Row],[Столбец1]]&lt;&gt;"",tb_baza[[#This Row],[Гос. номер]],"")</f>
        <v/>
      </c>
    </row>
    <row r="501" spans="1:11" x14ac:dyDescent="0.25">
      <c r="A501" s="17" t="s">
        <v>1128</v>
      </c>
      <c r="B501" s="10" t="s">
        <v>79</v>
      </c>
      <c r="C501" s="13" t="s">
        <v>153</v>
      </c>
      <c r="D501" s="7" t="s">
        <v>1276</v>
      </c>
      <c r="E501" s="2" t="s">
        <v>1306</v>
      </c>
      <c r="F501" s="2" t="s">
        <v>3</v>
      </c>
      <c r="G501" s="31"/>
      <c r="I5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1" t="str">
        <f>IF(tb_zakazchik[[#This Row],[Столбец1]]&lt;&gt;"",SUM($I$2:I501),"")</f>
        <v/>
      </c>
      <c r="K501" t="str">
        <f>IF(tb_zakazchik[[#This Row],[Столбец1]]&lt;&gt;"",tb_baza[[#This Row],[Гос. номер]],"")</f>
        <v/>
      </c>
    </row>
    <row r="502" spans="1:11" x14ac:dyDescent="0.25">
      <c r="A502" s="17" t="s">
        <v>1157</v>
      </c>
      <c r="B502" s="10" t="s">
        <v>79</v>
      </c>
      <c r="C502" s="13" t="s">
        <v>153</v>
      </c>
      <c r="D502" s="7" t="s">
        <v>1276</v>
      </c>
      <c r="E502" s="2" t="s">
        <v>1306</v>
      </c>
      <c r="F502" s="2" t="s">
        <v>3</v>
      </c>
      <c r="G502" s="31"/>
      <c r="I5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2" t="str">
        <f>IF(tb_zakazchik[[#This Row],[Столбец1]]&lt;&gt;"",SUM($I$2:I502),"")</f>
        <v/>
      </c>
      <c r="K502" t="str">
        <f>IF(tb_zakazchik[[#This Row],[Столбец1]]&lt;&gt;"",tb_baza[[#This Row],[Гос. номер]],"")</f>
        <v/>
      </c>
    </row>
    <row r="503" spans="1:11" x14ac:dyDescent="0.25">
      <c r="A503" s="17" t="s">
        <v>1141</v>
      </c>
      <c r="B503" s="10" t="s">
        <v>79</v>
      </c>
      <c r="C503" s="13" t="s">
        <v>153</v>
      </c>
      <c r="D503" s="7" t="s">
        <v>1276</v>
      </c>
      <c r="E503" s="2" t="s">
        <v>1306</v>
      </c>
      <c r="F503" s="2" t="s">
        <v>3</v>
      </c>
      <c r="G503" s="31"/>
      <c r="I5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3" t="str">
        <f>IF(tb_zakazchik[[#This Row],[Столбец1]]&lt;&gt;"",SUM($I$2:I503),"")</f>
        <v/>
      </c>
      <c r="K503" t="str">
        <f>IF(tb_zakazchik[[#This Row],[Столбец1]]&lt;&gt;"",tb_baza[[#This Row],[Гос. номер]],"")</f>
        <v/>
      </c>
    </row>
    <row r="504" spans="1:11" x14ac:dyDescent="0.25">
      <c r="A504" s="17" t="s">
        <v>1172</v>
      </c>
      <c r="B504" s="10" t="s">
        <v>79</v>
      </c>
      <c r="C504" s="13" t="s">
        <v>153</v>
      </c>
      <c r="D504" s="7" t="s">
        <v>1276</v>
      </c>
      <c r="E504" s="2" t="s">
        <v>1306</v>
      </c>
      <c r="F504" s="2" t="s">
        <v>3</v>
      </c>
      <c r="G504" s="31"/>
      <c r="I5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4" t="str">
        <f>IF(tb_zakazchik[[#This Row],[Столбец1]]&lt;&gt;"",SUM($I$2:I504),"")</f>
        <v/>
      </c>
      <c r="K504" t="str">
        <f>IF(tb_zakazchik[[#This Row],[Столбец1]]&lt;&gt;"",tb_baza[[#This Row],[Гос. номер]],"")</f>
        <v/>
      </c>
    </row>
    <row r="505" spans="1:11" x14ac:dyDescent="0.25">
      <c r="A505" s="17" t="s">
        <v>285</v>
      </c>
      <c r="B505" s="10" t="s">
        <v>79</v>
      </c>
      <c r="C505" s="13" t="s">
        <v>153</v>
      </c>
      <c r="D505" s="7" t="s">
        <v>1276</v>
      </c>
      <c r="E505" s="2" t="s">
        <v>1306</v>
      </c>
      <c r="F505" s="2" t="s">
        <v>3</v>
      </c>
      <c r="G505" s="31"/>
      <c r="I5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5" t="str">
        <f>IF(tb_zakazchik[[#This Row],[Столбец1]]&lt;&gt;"",SUM($I$2:I505),"")</f>
        <v/>
      </c>
      <c r="K505" t="str">
        <f>IF(tb_zakazchik[[#This Row],[Столбец1]]&lt;&gt;"",tb_baza[[#This Row],[Гос. номер]],"")</f>
        <v/>
      </c>
    </row>
    <row r="506" spans="1:11" x14ac:dyDescent="0.25">
      <c r="A506" s="17" t="s">
        <v>1073</v>
      </c>
      <c r="B506" s="10" t="s">
        <v>79</v>
      </c>
      <c r="C506" s="13" t="s">
        <v>153</v>
      </c>
      <c r="D506" s="7" t="s">
        <v>1276</v>
      </c>
      <c r="E506" s="2" t="s">
        <v>1306</v>
      </c>
      <c r="F506" s="2" t="s">
        <v>3</v>
      </c>
      <c r="G506" s="31"/>
      <c r="I5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6" t="str">
        <f>IF(tb_zakazchik[[#This Row],[Столбец1]]&lt;&gt;"",SUM($I$2:I506),"")</f>
        <v/>
      </c>
      <c r="K506" t="str">
        <f>IF(tb_zakazchik[[#This Row],[Столбец1]]&lt;&gt;"",tb_baza[[#This Row],[Гос. номер]],"")</f>
        <v/>
      </c>
    </row>
    <row r="507" spans="1:11" x14ac:dyDescent="0.25">
      <c r="A507" s="17" t="s">
        <v>1178</v>
      </c>
      <c r="B507" s="10" t="s">
        <v>79</v>
      </c>
      <c r="C507" s="13" t="s">
        <v>153</v>
      </c>
      <c r="D507" s="7" t="s">
        <v>1276</v>
      </c>
      <c r="E507" s="2" t="s">
        <v>1306</v>
      </c>
      <c r="F507" s="2" t="s">
        <v>3</v>
      </c>
      <c r="G507" s="31"/>
      <c r="I5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7" t="str">
        <f>IF(tb_zakazchik[[#This Row],[Столбец1]]&lt;&gt;"",SUM($I$2:I507),"")</f>
        <v/>
      </c>
      <c r="K507" t="str">
        <f>IF(tb_zakazchik[[#This Row],[Столбец1]]&lt;&gt;"",tb_baza[[#This Row],[Гос. номер]],"")</f>
        <v/>
      </c>
    </row>
    <row r="508" spans="1:11" x14ac:dyDescent="0.25">
      <c r="A508" s="17" t="s">
        <v>1144</v>
      </c>
      <c r="B508" s="10" t="s">
        <v>79</v>
      </c>
      <c r="C508" s="13" t="s">
        <v>153</v>
      </c>
      <c r="D508" s="7" t="s">
        <v>1276</v>
      </c>
      <c r="E508" s="2" t="s">
        <v>1306</v>
      </c>
      <c r="F508" s="2" t="s">
        <v>3</v>
      </c>
      <c r="G508" s="31"/>
      <c r="I5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8" t="str">
        <f>IF(tb_zakazchik[[#This Row],[Столбец1]]&lt;&gt;"",SUM($I$2:I508),"")</f>
        <v/>
      </c>
      <c r="K508" t="str">
        <f>IF(tb_zakazchik[[#This Row],[Столбец1]]&lt;&gt;"",tb_baza[[#This Row],[Гос. номер]],"")</f>
        <v/>
      </c>
    </row>
    <row r="509" spans="1:11" x14ac:dyDescent="0.25">
      <c r="A509" s="17" t="s">
        <v>1130</v>
      </c>
      <c r="B509" s="10" t="s">
        <v>79</v>
      </c>
      <c r="C509" s="13" t="s">
        <v>153</v>
      </c>
      <c r="D509" s="7" t="s">
        <v>1276</v>
      </c>
      <c r="E509" s="2" t="s">
        <v>1306</v>
      </c>
      <c r="F509" s="2" t="s">
        <v>3</v>
      </c>
      <c r="G509" s="31"/>
      <c r="I5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09" t="str">
        <f>IF(tb_zakazchik[[#This Row],[Столбец1]]&lt;&gt;"",SUM($I$2:I509),"")</f>
        <v/>
      </c>
      <c r="K509" t="str">
        <f>IF(tb_zakazchik[[#This Row],[Столбец1]]&lt;&gt;"",tb_baza[[#This Row],[Гос. номер]],"")</f>
        <v/>
      </c>
    </row>
    <row r="510" spans="1:11" x14ac:dyDescent="0.25">
      <c r="A510" s="17" t="s">
        <v>1176</v>
      </c>
      <c r="B510" s="10" t="s">
        <v>79</v>
      </c>
      <c r="C510" s="13" t="s">
        <v>153</v>
      </c>
      <c r="D510" s="7" t="s">
        <v>1276</v>
      </c>
      <c r="E510" s="2" t="s">
        <v>1306</v>
      </c>
      <c r="F510" s="2" t="s">
        <v>3</v>
      </c>
      <c r="G510" s="31"/>
      <c r="I5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0" t="str">
        <f>IF(tb_zakazchik[[#This Row],[Столбец1]]&lt;&gt;"",SUM($I$2:I510),"")</f>
        <v/>
      </c>
      <c r="K510" t="str">
        <f>IF(tb_zakazchik[[#This Row],[Столбец1]]&lt;&gt;"",tb_baza[[#This Row],[Гос. номер]],"")</f>
        <v/>
      </c>
    </row>
    <row r="511" spans="1:11" x14ac:dyDescent="0.25">
      <c r="A511" s="17" t="s">
        <v>211</v>
      </c>
      <c r="B511" s="10" t="s">
        <v>79</v>
      </c>
      <c r="C511" s="13" t="s">
        <v>153</v>
      </c>
      <c r="D511" s="7" t="s">
        <v>1276</v>
      </c>
      <c r="E511" s="2" t="s">
        <v>1306</v>
      </c>
      <c r="F511" s="2" t="s">
        <v>3</v>
      </c>
      <c r="G511" s="31"/>
      <c r="I5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1" t="str">
        <f>IF(tb_zakazchik[[#This Row],[Столбец1]]&lt;&gt;"",SUM($I$2:I511),"")</f>
        <v/>
      </c>
      <c r="K511" t="str">
        <f>IF(tb_zakazchik[[#This Row],[Столбец1]]&lt;&gt;"",tb_baza[[#This Row],[Гос. номер]],"")</f>
        <v/>
      </c>
    </row>
    <row r="512" spans="1:11" x14ac:dyDescent="0.25">
      <c r="A512" s="17" t="s">
        <v>1166</v>
      </c>
      <c r="B512" s="10" t="s">
        <v>79</v>
      </c>
      <c r="C512" s="13" t="s">
        <v>153</v>
      </c>
      <c r="D512" s="7" t="s">
        <v>1276</v>
      </c>
      <c r="E512" s="2" t="s">
        <v>1306</v>
      </c>
      <c r="F512" s="2" t="s">
        <v>3</v>
      </c>
      <c r="G512" s="31"/>
      <c r="I5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2" t="str">
        <f>IF(tb_zakazchik[[#This Row],[Столбец1]]&lt;&gt;"",SUM($I$2:I512),"")</f>
        <v/>
      </c>
      <c r="K512" t="str">
        <f>IF(tb_zakazchik[[#This Row],[Столбец1]]&lt;&gt;"",tb_baza[[#This Row],[Гос. номер]],"")</f>
        <v/>
      </c>
    </row>
    <row r="513" spans="1:11" x14ac:dyDescent="0.25">
      <c r="A513" s="17" t="s">
        <v>1094</v>
      </c>
      <c r="B513" s="10" t="s">
        <v>79</v>
      </c>
      <c r="C513" s="13" t="s">
        <v>153</v>
      </c>
      <c r="D513" s="7" t="s">
        <v>1276</v>
      </c>
      <c r="E513" s="2" t="s">
        <v>1306</v>
      </c>
      <c r="F513" s="2" t="s">
        <v>3</v>
      </c>
      <c r="G513" s="31"/>
      <c r="I5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3" t="str">
        <f>IF(tb_zakazchik[[#This Row],[Столбец1]]&lt;&gt;"",SUM($I$2:I513),"")</f>
        <v/>
      </c>
      <c r="K513" t="str">
        <f>IF(tb_zakazchik[[#This Row],[Столбец1]]&lt;&gt;"",tb_baza[[#This Row],[Гос. номер]],"")</f>
        <v/>
      </c>
    </row>
    <row r="514" spans="1:11" x14ac:dyDescent="0.25">
      <c r="A514" s="17" t="s">
        <v>1127</v>
      </c>
      <c r="B514" s="10" t="s">
        <v>79</v>
      </c>
      <c r="C514" s="13" t="s">
        <v>153</v>
      </c>
      <c r="D514" s="7" t="s">
        <v>1276</v>
      </c>
      <c r="E514" s="2" t="s">
        <v>1306</v>
      </c>
      <c r="F514" s="2" t="s">
        <v>6</v>
      </c>
      <c r="G514" s="31"/>
      <c r="I5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4" t="str">
        <f>IF(tb_zakazchik[[#This Row],[Столбец1]]&lt;&gt;"",SUM($I$2:I514),"")</f>
        <v/>
      </c>
      <c r="K514" t="str">
        <f>IF(tb_zakazchik[[#This Row],[Столбец1]]&lt;&gt;"",tb_baza[[#This Row],[Гос. номер]],"")</f>
        <v/>
      </c>
    </row>
    <row r="515" spans="1:11" x14ac:dyDescent="0.25">
      <c r="A515" s="17" t="s">
        <v>125</v>
      </c>
      <c r="B515" s="10" t="s">
        <v>79</v>
      </c>
      <c r="C515" s="13" t="s">
        <v>153</v>
      </c>
      <c r="D515" s="7" t="s">
        <v>1276</v>
      </c>
      <c r="E515" s="2" t="s">
        <v>1306</v>
      </c>
      <c r="F515" s="2" t="s">
        <v>3</v>
      </c>
      <c r="G515" s="31"/>
      <c r="I5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5" t="str">
        <f>IF(tb_zakazchik[[#This Row],[Столбец1]]&lt;&gt;"",SUM($I$2:I515),"")</f>
        <v/>
      </c>
      <c r="K515" t="str">
        <f>IF(tb_zakazchik[[#This Row],[Столбец1]]&lt;&gt;"",tb_baza[[#This Row],[Гос. номер]],"")</f>
        <v/>
      </c>
    </row>
    <row r="516" spans="1:11" x14ac:dyDescent="0.25">
      <c r="A516" s="17" t="s">
        <v>1138</v>
      </c>
      <c r="B516" s="10" t="s">
        <v>79</v>
      </c>
      <c r="C516" s="13" t="s">
        <v>153</v>
      </c>
      <c r="D516" s="7" t="s">
        <v>1276</v>
      </c>
      <c r="E516" s="2" t="s">
        <v>1306</v>
      </c>
      <c r="F516" s="2" t="s">
        <v>3</v>
      </c>
      <c r="G516" s="31"/>
      <c r="I5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6" t="str">
        <f>IF(tb_zakazchik[[#This Row],[Столбец1]]&lt;&gt;"",SUM($I$2:I516),"")</f>
        <v/>
      </c>
      <c r="K516" t="str">
        <f>IF(tb_zakazchik[[#This Row],[Столбец1]]&lt;&gt;"",tb_baza[[#This Row],[Гос. номер]],"")</f>
        <v/>
      </c>
    </row>
    <row r="517" spans="1:11" x14ac:dyDescent="0.25">
      <c r="A517" s="17" t="s">
        <v>1070</v>
      </c>
      <c r="B517" s="10" t="s">
        <v>79</v>
      </c>
      <c r="C517" s="13" t="s">
        <v>153</v>
      </c>
      <c r="D517" s="7" t="s">
        <v>1276</v>
      </c>
      <c r="E517" s="2" t="s">
        <v>1104</v>
      </c>
      <c r="F517" s="2" t="s">
        <v>3</v>
      </c>
      <c r="G517" s="31"/>
      <c r="I5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7" t="str">
        <f>IF(tb_zakazchik[[#This Row],[Столбец1]]&lt;&gt;"",SUM($I$2:I517),"")</f>
        <v/>
      </c>
      <c r="K517" t="str">
        <f>IF(tb_zakazchik[[#This Row],[Столбец1]]&lt;&gt;"",tb_baza[[#This Row],[Гос. номер]],"")</f>
        <v/>
      </c>
    </row>
    <row r="518" spans="1:11" x14ac:dyDescent="0.25">
      <c r="A518" s="17" t="s">
        <v>1069</v>
      </c>
      <c r="B518" s="10" t="s">
        <v>79</v>
      </c>
      <c r="C518" s="13" t="s">
        <v>153</v>
      </c>
      <c r="D518" s="7" t="s">
        <v>1276</v>
      </c>
      <c r="E518" s="2" t="s">
        <v>1104</v>
      </c>
      <c r="F518" s="2" t="s">
        <v>3</v>
      </c>
      <c r="G518" s="31"/>
      <c r="I5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8" t="str">
        <f>IF(tb_zakazchik[[#This Row],[Столбец1]]&lt;&gt;"",SUM($I$2:I518),"")</f>
        <v/>
      </c>
      <c r="K518" t="str">
        <f>IF(tb_zakazchik[[#This Row],[Столбец1]]&lt;&gt;"",tb_baza[[#This Row],[Гос. номер]],"")</f>
        <v/>
      </c>
    </row>
    <row r="519" spans="1:11" x14ac:dyDescent="0.25">
      <c r="A519" s="17" t="s">
        <v>1090</v>
      </c>
      <c r="B519" s="10" t="s">
        <v>79</v>
      </c>
      <c r="C519" s="13" t="s">
        <v>153</v>
      </c>
      <c r="D519" s="7" t="s">
        <v>1276</v>
      </c>
      <c r="E519" s="2" t="s">
        <v>1104</v>
      </c>
      <c r="F519" s="2" t="s">
        <v>3</v>
      </c>
      <c r="G519" s="31"/>
      <c r="I5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19" t="str">
        <f>IF(tb_zakazchik[[#This Row],[Столбец1]]&lt;&gt;"",SUM($I$2:I519),"")</f>
        <v/>
      </c>
      <c r="K519" t="str">
        <f>IF(tb_zakazchik[[#This Row],[Столбец1]]&lt;&gt;"",tb_baza[[#This Row],[Гос. номер]],"")</f>
        <v/>
      </c>
    </row>
    <row r="520" spans="1:11" x14ac:dyDescent="0.25">
      <c r="A520" s="17" t="s">
        <v>301</v>
      </c>
      <c r="B520" s="10" t="s">
        <v>79</v>
      </c>
      <c r="C520" s="13" t="s">
        <v>153</v>
      </c>
      <c r="D520" s="7" t="s">
        <v>1276</v>
      </c>
      <c r="E520" s="2" t="s">
        <v>1309</v>
      </c>
      <c r="F520" s="2" t="s">
        <v>3</v>
      </c>
      <c r="G520" s="31"/>
      <c r="I5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0" t="str">
        <f>IF(tb_zakazchik[[#This Row],[Столбец1]]&lt;&gt;"",SUM($I$2:I520),"")</f>
        <v/>
      </c>
      <c r="K520" t="str">
        <f>IF(tb_zakazchik[[#This Row],[Столбец1]]&lt;&gt;"",tb_baza[[#This Row],[Гос. номер]],"")</f>
        <v/>
      </c>
    </row>
    <row r="521" spans="1:11" x14ac:dyDescent="0.25">
      <c r="A521" s="17" t="s">
        <v>1079</v>
      </c>
      <c r="B521" s="10" t="s">
        <v>79</v>
      </c>
      <c r="C521" s="13" t="s">
        <v>153</v>
      </c>
      <c r="D521" s="7" t="s">
        <v>1276</v>
      </c>
      <c r="E521" s="2" t="s">
        <v>1104</v>
      </c>
      <c r="F521" s="2" t="s">
        <v>3</v>
      </c>
      <c r="G521" s="31"/>
      <c r="I5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1" t="str">
        <f>IF(tb_zakazchik[[#This Row],[Столбец1]]&lt;&gt;"",SUM($I$2:I521),"")</f>
        <v/>
      </c>
      <c r="K521" t="str">
        <f>IF(tb_zakazchik[[#This Row],[Столбец1]]&lt;&gt;"",tb_baza[[#This Row],[Гос. номер]],"")</f>
        <v/>
      </c>
    </row>
    <row r="522" spans="1:11" x14ac:dyDescent="0.25">
      <c r="A522" s="17" t="s">
        <v>253</v>
      </c>
      <c r="B522" s="10" t="s">
        <v>79</v>
      </c>
      <c r="C522" s="13" t="s">
        <v>153</v>
      </c>
      <c r="D522" s="7" t="s">
        <v>1276</v>
      </c>
      <c r="E522" s="2" t="s">
        <v>1104</v>
      </c>
      <c r="F522" s="2" t="s">
        <v>3</v>
      </c>
      <c r="G522" s="31"/>
      <c r="I5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2" t="str">
        <f>IF(tb_zakazchik[[#This Row],[Столбец1]]&lt;&gt;"",SUM($I$2:I522),"")</f>
        <v/>
      </c>
      <c r="K522" t="str">
        <f>IF(tb_zakazchik[[#This Row],[Столбец1]]&lt;&gt;"",tb_baza[[#This Row],[Гос. номер]],"")</f>
        <v/>
      </c>
    </row>
    <row r="523" spans="1:11" x14ac:dyDescent="0.25">
      <c r="A523" s="17" t="s">
        <v>1103</v>
      </c>
      <c r="B523" s="10" t="s">
        <v>1102</v>
      </c>
      <c r="C523" s="13" t="s">
        <v>153</v>
      </c>
      <c r="D523" s="7" t="s">
        <v>1276</v>
      </c>
      <c r="E523" s="2" t="s">
        <v>1104</v>
      </c>
      <c r="F523" s="2" t="s">
        <v>3</v>
      </c>
      <c r="G523" s="31"/>
      <c r="I5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3" t="str">
        <f>IF(tb_zakazchik[[#This Row],[Столбец1]]&lt;&gt;"",SUM($I$2:I523),"")</f>
        <v/>
      </c>
      <c r="K523" t="str">
        <f>IF(tb_zakazchik[[#This Row],[Столбец1]]&lt;&gt;"",tb_baza[[#This Row],[Гос. номер]],"")</f>
        <v/>
      </c>
    </row>
    <row r="524" spans="1:11" x14ac:dyDescent="0.25">
      <c r="A524" s="17" t="s">
        <v>1087</v>
      </c>
      <c r="B524" s="10" t="s">
        <v>79</v>
      </c>
      <c r="C524" s="13" t="s">
        <v>153</v>
      </c>
      <c r="D524" s="7" t="s">
        <v>1276</v>
      </c>
      <c r="E524" s="2" t="s">
        <v>2</v>
      </c>
      <c r="F524" s="2" t="s">
        <v>3</v>
      </c>
      <c r="G524" s="31"/>
      <c r="I5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4" t="str">
        <f>IF(tb_zakazchik[[#This Row],[Столбец1]]&lt;&gt;"",SUM($I$2:I524),"")</f>
        <v/>
      </c>
      <c r="K524" t="str">
        <f>IF(tb_zakazchik[[#This Row],[Столбец1]]&lt;&gt;"",tb_baza[[#This Row],[Гос. номер]],"")</f>
        <v/>
      </c>
    </row>
    <row r="525" spans="1:11" x14ac:dyDescent="0.25">
      <c r="A525" s="17" t="s">
        <v>1162</v>
      </c>
      <c r="B525" s="10" t="s">
        <v>79</v>
      </c>
      <c r="C525" s="13" t="s">
        <v>153</v>
      </c>
      <c r="D525" s="7" t="s">
        <v>1276</v>
      </c>
      <c r="E525" s="2" t="s">
        <v>2</v>
      </c>
      <c r="F525" s="2" t="s">
        <v>3</v>
      </c>
      <c r="G525" s="31"/>
      <c r="I5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5" t="str">
        <f>IF(tb_zakazchik[[#This Row],[Столбец1]]&lt;&gt;"",SUM($I$2:I525),"")</f>
        <v/>
      </c>
      <c r="K525" t="str">
        <f>IF(tb_zakazchik[[#This Row],[Столбец1]]&lt;&gt;"",tb_baza[[#This Row],[Гос. номер]],"")</f>
        <v/>
      </c>
    </row>
    <row r="526" spans="1:11" x14ac:dyDescent="0.25">
      <c r="A526" s="17" t="s">
        <v>1117</v>
      </c>
      <c r="B526" s="10" t="s">
        <v>79</v>
      </c>
      <c r="C526" s="13" t="s">
        <v>153</v>
      </c>
      <c r="D526" s="7" t="s">
        <v>1276</v>
      </c>
      <c r="E526" s="2" t="s">
        <v>2</v>
      </c>
      <c r="F526" s="2" t="s">
        <v>3</v>
      </c>
      <c r="G526" s="31"/>
      <c r="I5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6" t="str">
        <f>IF(tb_zakazchik[[#This Row],[Столбец1]]&lt;&gt;"",SUM($I$2:I526),"")</f>
        <v/>
      </c>
      <c r="K526" t="str">
        <f>IF(tb_zakazchik[[#This Row],[Столбец1]]&lt;&gt;"",tb_baza[[#This Row],[Гос. номер]],"")</f>
        <v/>
      </c>
    </row>
    <row r="527" spans="1:11" x14ac:dyDescent="0.25">
      <c r="A527" s="17" t="s">
        <v>1129</v>
      </c>
      <c r="B527" s="10" t="s">
        <v>79</v>
      </c>
      <c r="C527" s="13" t="s">
        <v>153</v>
      </c>
      <c r="D527" s="7" t="s">
        <v>1276</v>
      </c>
      <c r="E527" s="2" t="s">
        <v>2</v>
      </c>
      <c r="F527" s="2" t="s">
        <v>6</v>
      </c>
      <c r="G527" s="31"/>
      <c r="I5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7" t="str">
        <f>IF(tb_zakazchik[[#This Row],[Столбец1]]&lt;&gt;"",SUM($I$2:I527),"")</f>
        <v/>
      </c>
      <c r="K527" t="str">
        <f>IF(tb_zakazchik[[#This Row],[Столбец1]]&lt;&gt;"",tb_baza[[#This Row],[Гос. номер]],"")</f>
        <v/>
      </c>
    </row>
    <row r="528" spans="1:11" x14ac:dyDescent="0.25">
      <c r="A528" s="17" t="s">
        <v>1188</v>
      </c>
      <c r="B528" s="10" t="s">
        <v>79</v>
      </c>
      <c r="C528" s="13" t="s">
        <v>153</v>
      </c>
      <c r="D528" s="7" t="s">
        <v>1276</v>
      </c>
      <c r="E528" s="2" t="s">
        <v>2</v>
      </c>
      <c r="F528" s="2" t="s">
        <v>3</v>
      </c>
      <c r="G528" s="31"/>
      <c r="I5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8" t="str">
        <f>IF(tb_zakazchik[[#This Row],[Столбец1]]&lt;&gt;"",SUM($I$2:I528),"")</f>
        <v/>
      </c>
      <c r="K528" t="str">
        <f>IF(tb_zakazchik[[#This Row],[Столбец1]]&lt;&gt;"",tb_baza[[#This Row],[Гос. номер]],"")</f>
        <v/>
      </c>
    </row>
    <row r="529" spans="1:11" x14ac:dyDescent="0.25">
      <c r="A529" s="17" t="s">
        <v>1091</v>
      </c>
      <c r="B529" s="10" t="s">
        <v>79</v>
      </c>
      <c r="C529" s="13" t="s">
        <v>153</v>
      </c>
      <c r="D529" s="7" t="s">
        <v>1276</v>
      </c>
      <c r="E529" s="2" t="s">
        <v>2</v>
      </c>
      <c r="F529" s="2" t="s">
        <v>3</v>
      </c>
      <c r="G529" s="31"/>
      <c r="I5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29" t="str">
        <f>IF(tb_zakazchik[[#This Row],[Столбец1]]&lt;&gt;"",SUM($I$2:I529),"")</f>
        <v/>
      </c>
      <c r="K529" t="str">
        <f>IF(tb_zakazchik[[#This Row],[Столбец1]]&lt;&gt;"",tb_baza[[#This Row],[Гос. номер]],"")</f>
        <v/>
      </c>
    </row>
    <row r="530" spans="1:11" x14ac:dyDescent="0.25">
      <c r="A530" s="17" t="s">
        <v>1066</v>
      </c>
      <c r="B530" s="10" t="s">
        <v>79</v>
      </c>
      <c r="C530" s="13" t="s">
        <v>153</v>
      </c>
      <c r="D530" s="7" t="s">
        <v>1276</v>
      </c>
      <c r="E530" s="2" t="s">
        <v>2</v>
      </c>
      <c r="F530" s="2" t="s">
        <v>3</v>
      </c>
      <c r="G530" s="31"/>
      <c r="I5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0" t="str">
        <f>IF(tb_zakazchik[[#This Row],[Столбец1]]&lt;&gt;"",SUM($I$2:I530),"")</f>
        <v/>
      </c>
      <c r="K530" t="str">
        <f>IF(tb_zakazchik[[#This Row],[Столбец1]]&lt;&gt;"",tb_baza[[#This Row],[Гос. номер]],"")</f>
        <v/>
      </c>
    </row>
    <row r="531" spans="1:11" x14ac:dyDescent="0.25">
      <c r="A531" s="17" t="s">
        <v>921</v>
      </c>
      <c r="B531" s="10" t="s">
        <v>132</v>
      </c>
      <c r="C531" s="13" t="s">
        <v>153</v>
      </c>
      <c r="D531" s="7" t="s">
        <v>1276</v>
      </c>
      <c r="E531" s="2" t="s">
        <v>12</v>
      </c>
      <c r="F531" s="2" t="s">
        <v>13</v>
      </c>
      <c r="G531" s="31"/>
      <c r="I5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1" t="str">
        <f>IF(tb_zakazchik[[#This Row],[Столбец1]]&lt;&gt;"",SUM($I$2:I531),"")</f>
        <v/>
      </c>
      <c r="K531" t="str">
        <f>IF(tb_zakazchik[[#This Row],[Столбец1]]&lt;&gt;"",tb_baza[[#This Row],[Гос. номер]],"")</f>
        <v/>
      </c>
    </row>
    <row r="532" spans="1:11" x14ac:dyDescent="0.25">
      <c r="A532" s="17" t="s">
        <v>133</v>
      </c>
      <c r="B532" s="10" t="s">
        <v>132</v>
      </c>
      <c r="C532" s="13" t="s">
        <v>153</v>
      </c>
      <c r="D532" s="7" t="s">
        <v>1276</v>
      </c>
      <c r="E532" s="2" t="s">
        <v>12</v>
      </c>
      <c r="F532" s="2" t="s">
        <v>13</v>
      </c>
      <c r="G532" s="31"/>
      <c r="I5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2" t="str">
        <f>IF(tb_zakazchik[[#This Row],[Столбец1]]&lt;&gt;"",SUM($I$2:I532),"")</f>
        <v/>
      </c>
      <c r="K532" t="str">
        <f>IF(tb_zakazchik[[#This Row],[Столбец1]]&lt;&gt;"",tb_baza[[#This Row],[Гос. номер]],"")</f>
        <v/>
      </c>
    </row>
    <row r="533" spans="1:11" x14ac:dyDescent="0.25">
      <c r="A533" s="17" t="s">
        <v>908</v>
      </c>
      <c r="B533" s="10" t="s">
        <v>132</v>
      </c>
      <c r="C533" s="13" t="s">
        <v>153</v>
      </c>
      <c r="D533" s="7" t="s">
        <v>1276</v>
      </c>
      <c r="E533" s="2" t="s">
        <v>12</v>
      </c>
      <c r="F533" s="2" t="s">
        <v>6</v>
      </c>
      <c r="G533" s="31"/>
      <c r="I5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3" t="str">
        <f>IF(tb_zakazchik[[#This Row],[Столбец1]]&lt;&gt;"",SUM($I$2:I533),"")</f>
        <v/>
      </c>
      <c r="K533" t="str">
        <f>IF(tb_zakazchik[[#This Row],[Столбец1]]&lt;&gt;"",tb_baza[[#This Row],[Гос. номер]],"")</f>
        <v/>
      </c>
    </row>
    <row r="534" spans="1:11" x14ac:dyDescent="0.25">
      <c r="A534" s="17" t="s">
        <v>209</v>
      </c>
      <c r="B534" s="10" t="s">
        <v>79</v>
      </c>
      <c r="C534" s="13" t="s">
        <v>153</v>
      </c>
      <c r="D534" s="7" t="s">
        <v>1276</v>
      </c>
      <c r="E534" s="2" t="s">
        <v>12</v>
      </c>
      <c r="F534" s="2" t="s">
        <v>13</v>
      </c>
      <c r="G534" s="31"/>
      <c r="I5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4" t="str">
        <f>IF(tb_zakazchik[[#This Row],[Столбец1]]&lt;&gt;"",SUM($I$2:I534),"")</f>
        <v/>
      </c>
      <c r="K534" t="str">
        <f>IF(tb_zakazchik[[#This Row],[Столбец1]]&lt;&gt;"",tb_baza[[#This Row],[Гос. номер]],"")</f>
        <v/>
      </c>
    </row>
    <row r="535" spans="1:11" x14ac:dyDescent="0.25">
      <c r="A535" s="17" t="s">
        <v>1140</v>
      </c>
      <c r="B535" s="10" t="s">
        <v>79</v>
      </c>
      <c r="C535" s="13" t="s">
        <v>153</v>
      </c>
      <c r="D535" s="7" t="s">
        <v>1276</v>
      </c>
      <c r="E535" s="2" t="s">
        <v>2</v>
      </c>
      <c r="F535" s="2" t="s">
        <v>3</v>
      </c>
      <c r="G535" s="31"/>
      <c r="I5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5" t="str">
        <f>IF(tb_zakazchik[[#This Row],[Столбец1]]&lt;&gt;"",SUM($I$2:I535),"")</f>
        <v/>
      </c>
      <c r="K535" t="str">
        <f>IF(tb_zakazchik[[#This Row],[Столбец1]]&lt;&gt;"",tb_baza[[#This Row],[Гос. номер]],"")</f>
        <v/>
      </c>
    </row>
    <row r="536" spans="1:11" x14ac:dyDescent="0.25">
      <c r="A536" s="17" t="s">
        <v>1131</v>
      </c>
      <c r="B536" s="10" t="s">
        <v>79</v>
      </c>
      <c r="C536" s="13" t="s">
        <v>153</v>
      </c>
      <c r="D536" s="7" t="s">
        <v>1276</v>
      </c>
      <c r="E536" s="2" t="s">
        <v>2</v>
      </c>
      <c r="F536" s="2" t="s">
        <v>3</v>
      </c>
      <c r="G536" s="31"/>
      <c r="I5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6" t="str">
        <f>IF(tb_zakazchik[[#This Row],[Столбец1]]&lt;&gt;"",SUM($I$2:I536),"")</f>
        <v/>
      </c>
      <c r="K536" t="str">
        <f>IF(tb_zakazchik[[#This Row],[Столбец1]]&lt;&gt;"",tb_baza[[#This Row],[Гос. номер]],"")</f>
        <v/>
      </c>
    </row>
    <row r="537" spans="1:11" x14ac:dyDescent="0.25">
      <c r="A537" s="17" t="s">
        <v>1189</v>
      </c>
      <c r="B537" s="10" t="s">
        <v>79</v>
      </c>
      <c r="C537" s="13" t="s">
        <v>153</v>
      </c>
      <c r="D537" s="7" t="s">
        <v>1276</v>
      </c>
      <c r="E537" s="2" t="s">
        <v>140</v>
      </c>
      <c r="F537" s="2" t="s">
        <v>13</v>
      </c>
      <c r="G537" s="31"/>
      <c r="I5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7" t="str">
        <f>IF(tb_zakazchik[[#This Row],[Столбец1]]&lt;&gt;"",SUM($I$2:I537),"")</f>
        <v/>
      </c>
      <c r="K537" t="str">
        <f>IF(tb_zakazchik[[#This Row],[Столбец1]]&lt;&gt;"",tb_baza[[#This Row],[Гос. номер]],"")</f>
        <v/>
      </c>
    </row>
    <row r="538" spans="1:11" x14ac:dyDescent="0.25">
      <c r="A538" s="17" t="s">
        <v>1059</v>
      </c>
      <c r="B538" s="10" t="s">
        <v>79</v>
      </c>
      <c r="C538" s="13" t="s">
        <v>153</v>
      </c>
      <c r="D538" s="7" t="s">
        <v>1276</v>
      </c>
      <c r="E538" s="2" t="s">
        <v>1309</v>
      </c>
      <c r="F538" s="2" t="s">
        <v>3</v>
      </c>
      <c r="G538" s="31"/>
      <c r="I5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8" t="str">
        <f>IF(tb_zakazchik[[#This Row],[Столбец1]]&lt;&gt;"",SUM($I$2:I538),"")</f>
        <v/>
      </c>
      <c r="K538" t="str">
        <f>IF(tb_zakazchik[[#This Row],[Столбец1]]&lt;&gt;"",tb_baza[[#This Row],[Гос. номер]],"")</f>
        <v/>
      </c>
    </row>
    <row r="539" spans="1:11" x14ac:dyDescent="0.25">
      <c r="A539" s="17" t="s">
        <v>1135</v>
      </c>
      <c r="B539" s="10" t="s">
        <v>79</v>
      </c>
      <c r="C539" s="13" t="s">
        <v>153</v>
      </c>
      <c r="D539" s="7" t="s">
        <v>1276</v>
      </c>
      <c r="E539" s="2" t="s">
        <v>140</v>
      </c>
      <c r="F539" s="2" t="s">
        <v>3</v>
      </c>
      <c r="G539" s="31"/>
      <c r="I5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39" t="str">
        <f>IF(tb_zakazchik[[#This Row],[Столбец1]]&lt;&gt;"",SUM($I$2:I539),"")</f>
        <v/>
      </c>
      <c r="K539" t="str">
        <f>IF(tb_zakazchik[[#This Row],[Столбец1]]&lt;&gt;"",tb_baza[[#This Row],[Гос. номер]],"")</f>
        <v/>
      </c>
    </row>
    <row r="540" spans="1:11" x14ac:dyDescent="0.25">
      <c r="A540" s="17" t="s">
        <v>1121</v>
      </c>
      <c r="B540" s="10" t="s">
        <v>79</v>
      </c>
      <c r="C540" s="13" t="s">
        <v>153</v>
      </c>
      <c r="D540" s="7" t="s">
        <v>1276</v>
      </c>
      <c r="E540" s="2" t="s">
        <v>1306</v>
      </c>
      <c r="F540" s="2" t="s">
        <v>3</v>
      </c>
      <c r="G540" s="31"/>
      <c r="I5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0" t="str">
        <f>IF(tb_zakazchik[[#This Row],[Столбец1]]&lt;&gt;"",SUM($I$2:I540),"")</f>
        <v/>
      </c>
      <c r="K540" t="str">
        <f>IF(tb_zakazchik[[#This Row],[Столбец1]]&lt;&gt;"",tb_baza[[#This Row],[Гос. номер]],"")</f>
        <v/>
      </c>
    </row>
    <row r="541" spans="1:11" x14ac:dyDescent="0.25">
      <c r="A541" s="17" t="s">
        <v>1098</v>
      </c>
      <c r="B541" s="10" t="s">
        <v>79</v>
      </c>
      <c r="C541" s="13" t="s">
        <v>153</v>
      </c>
      <c r="D541" s="7" t="s">
        <v>1276</v>
      </c>
      <c r="E541" s="3"/>
      <c r="F541" s="2" t="s">
        <v>3</v>
      </c>
      <c r="G541" s="31"/>
      <c r="I5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1" t="str">
        <f>IF(tb_zakazchik[[#This Row],[Столбец1]]&lt;&gt;"",SUM($I$2:I541),"")</f>
        <v/>
      </c>
      <c r="K541" t="str">
        <f>IF(tb_zakazchik[[#This Row],[Столбец1]]&lt;&gt;"",tb_baza[[#This Row],[Гос. номер]],"")</f>
        <v/>
      </c>
    </row>
    <row r="542" spans="1:11" x14ac:dyDescent="0.25">
      <c r="A542" s="17" t="s">
        <v>1137</v>
      </c>
      <c r="B542" s="10" t="s">
        <v>79</v>
      </c>
      <c r="C542" s="13" t="s">
        <v>153</v>
      </c>
      <c r="D542" s="7" t="s">
        <v>1276</v>
      </c>
      <c r="E542" s="2" t="s">
        <v>2</v>
      </c>
      <c r="F542" s="2" t="s">
        <v>3</v>
      </c>
      <c r="G542" s="31"/>
      <c r="I5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2" t="str">
        <f>IF(tb_zakazchik[[#This Row],[Столбец1]]&lt;&gt;"",SUM($I$2:I542),"")</f>
        <v/>
      </c>
      <c r="K542" t="str">
        <f>IF(tb_zakazchik[[#This Row],[Столбец1]]&lt;&gt;"",tb_baza[[#This Row],[Гос. номер]],"")</f>
        <v/>
      </c>
    </row>
    <row r="543" spans="1:11" x14ac:dyDescent="0.25">
      <c r="A543" s="17" t="s">
        <v>1082</v>
      </c>
      <c r="B543" s="10" t="s">
        <v>79</v>
      </c>
      <c r="C543" s="13" t="s">
        <v>153</v>
      </c>
      <c r="D543" s="7" t="s">
        <v>1276</v>
      </c>
      <c r="E543" s="2" t="s">
        <v>140</v>
      </c>
      <c r="F543" s="2" t="s">
        <v>3</v>
      </c>
      <c r="G543" s="31"/>
      <c r="I5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3" t="str">
        <f>IF(tb_zakazchik[[#This Row],[Столбец1]]&lt;&gt;"",SUM($I$2:I543),"")</f>
        <v/>
      </c>
      <c r="K543" t="str">
        <f>IF(tb_zakazchik[[#This Row],[Столбец1]]&lt;&gt;"",tb_baza[[#This Row],[Гос. номер]],"")</f>
        <v/>
      </c>
    </row>
    <row r="544" spans="1:11" x14ac:dyDescent="0.25">
      <c r="A544" s="17" t="s">
        <v>907</v>
      </c>
      <c r="B544" s="10" t="s">
        <v>132</v>
      </c>
      <c r="C544" s="13" t="s">
        <v>153</v>
      </c>
      <c r="D544" s="7" t="s">
        <v>1276</v>
      </c>
      <c r="E544" s="3" t="s">
        <v>1309</v>
      </c>
      <c r="F544" s="2" t="s">
        <v>3</v>
      </c>
      <c r="G544" s="31"/>
      <c r="I5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4" t="str">
        <f>IF(tb_zakazchik[[#This Row],[Столбец1]]&lt;&gt;"",SUM($I$2:I544),"")</f>
        <v/>
      </c>
      <c r="K544" t="str">
        <f>IF(tb_zakazchik[[#This Row],[Столбец1]]&lt;&gt;"",tb_baza[[#This Row],[Гос. номер]],"")</f>
        <v/>
      </c>
    </row>
    <row r="545" spans="1:11" x14ac:dyDescent="0.25">
      <c r="A545" s="17" t="s">
        <v>403</v>
      </c>
      <c r="B545" s="10" t="s">
        <v>32</v>
      </c>
      <c r="C545" s="13" t="s">
        <v>153</v>
      </c>
      <c r="D545" s="7" t="s">
        <v>32</v>
      </c>
      <c r="E545" s="2" t="s">
        <v>1306</v>
      </c>
      <c r="F545" s="2" t="s">
        <v>6</v>
      </c>
      <c r="G545" s="31"/>
      <c r="I5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5" t="str">
        <f>IF(tb_zakazchik[[#This Row],[Столбец1]]&lt;&gt;"",SUM($I$2:I545),"")</f>
        <v/>
      </c>
      <c r="K545" t="str">
        <f>IF(tb_zakazchik[[#This Row],[Столбец1]]&lt;&gt;"",tb_baza[[#This Row],[Гос. номер]],"")</f>
        <v/>
      </c>
    </row>
    <row r="546" spans="1:11" x14ac:dyDescent="0.25">
      <c r="A546" s="17" t="s">
        <v>951</v>
      </c>
      <c r="B546" s="10" t="s">
        <v>32</v>
      </c>
      <c r="C546" s="13" t="s">
        <v>153</v>
      </c>
      <c r="D546" s="7" t="s">
        <v>32</v>
      </c>
      <c r="E546" s="2" t="s">
        <v>1306</v>
      </c>
      <c r="F546" s="2" t="s">
        <v>6</v>
      </c>
      <c r="G546" s="31"/>
      <c r="I5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6" t="str">
        <f>IF(tb_zakazchik[[#This Row],[Столбец1]]&lt;&gt;"",SUM($I$2:I546),"")</f>
        <v/>
      </c>
      <c r="K546" t="str">
        <f>IF(tb_zakazchik[[#This Row],[Столбец1]]&lt;&gt;"",tb_baza[[#This Row],[Гос. номер]],"")</f>
        <v/>
      </c>
    </row>
    <row r="547" spans="1:11" x14ac:dyDescent="0.25">
      <c r="A547" s="17" t="s">
        <v>126</v>
      </c>
      <c r="B547" s="10" t="s">
        <v>32</v>
      </c>
      <c r="C547" s="13" t="s">
        <v>153</v>
      </c>
      <c r="D547" s="7" t="s">
        <v>32</v>
      </c>
      <c r="E547" s="2" t="s">
        <v>1306</v>
      </c>
      <c r="F547" s="2" t="s">
        <v>6</v>
      </c>
      <c r="G547" s="31"/>
      <c r="I5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7" t="str">
        <f>IF(tb_zakazchik[[#This Row],[Столбец1]]&lt;&gt;"",SUM($I$2:I547),"")</f>
        <v/>
      </c>
      <c r="K547" t="str">
        <f>IF(tb_zakazchik[[#This Row],[Столбец1]]&lt;&gt;"",tb_baza[[#This Row],[Гос. номер]],"")</f>
        <v/>
      </c>
    </row>
    <row r="548" spans="1:11" x14ac:dyDescent="0.25">
      <c r="A548" s="17" t="s">
        <v>1012</v>
      </c>
      <c r="B548" s="10" t="s">
        <v>32</v>
      </c>
      <c r="C548" s="13" t="s">
        <v>153</v>
      </c>
      <c r="D548" s="7" t="s">
        <v>32</v>
      </c>
      <c r="E548" s="2" t="s">
        <v>2</v>
      </c>
      <c r="F548" s="2" t="s">
        <v>6</v>
      </c>
      <c r="G548" s="31"/>
      <c r="I5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8" t="str">
        <f>IF(tb_zakazchik[[#This Row],[Столбец1]]&lt;&gt;"",SUM($I$2:I548),"")</f>
        <v/>
      </c>
      <c r="K548" t="str">
        <f>IF(tb_zakazchik[[#This Row],[Столбец1]]&lt;&gt;"",tb_baza[[#This Row],[Гос. номер]],"")</f>
        <v/>
      </c>
    </row>
    <row r="549" spans="1:11" x14ac:dyDescent="0.25">
      <c r="A549" s="17" t="s">
        <v>789</v>
      </c>
      <c r="B549" s="10" t="s">
        <v>97</v>
      </c>
      <c r="C549" s="13" t="s">
        <v>153</v>
      </c>
      <c r="D549" s="7" t="s">
        <v>1293</v>
      </c>
      <c r="E549" s="2" t="s">
        <v>1306</v>
      </c>
      <c r="F549" s="2" t="s">
        <v>3</v>
      </c>
      <c r="G549" s="31"/>
      <c r="I5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49" t="str">
        <f>IF(tb_zakazchik[[#This Row],[Столбец1]]&lt;&gt;"",SUM($I$2:I549),"")</f>
        <v/>
      </c>
      <c r="K549" t="str">
        <f>IF(tb_zakazchik[[#This Row],[Столбец1]]&lt;&gt;"",tb_baza[[#This Row],[Гос. номер]],"")</f>
        <v/>
      </c>
    </row>
    <row r="550" spans="1:11" x14ac:dyDescent="0.25">
      <c r="A550" s="17" t="s">
        <v>815</v>
      </c>
      <c r="B550" s="10" t="s">
        <v>97</v>
      </c>
      <c r="C550" s="13" t="s">
        <v>153</v>
      </c>
      <c r="D550" s="7" t="s">
        <v>1293</v>
      </c>
      <c r="E550" s="2" t="s">
        <v>1306</v>
      </c>
      <c r="F550" s="2" t="s">
        <v>3</v>
      </c>
      <c r="G550" s="31"/>
      <c r="I5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0" t="str">
        <f>IF(tb_zakazchik[[#This Row],[Столбец1]]&lt;&gt;"",SUM($I$2:I550),"")</f>
        <v/>
      </c>
      <c r="K550" t="str">
        <f>IF(tb_zakazchik[[#This Row],[Столбец1]]&lt;&gt;"",tb_baza[[#This Row],[Гос. номер]],"")</f>
        <v/>
      </c>
    </row>
    <row r="551" spans="1:11" x14ac:dyDescent="0.25">
      <c r="A551" s="17" t="s">
        <v>98</v>
      </c>
      <c r="B551" s="10" t="s">
        <v>97</v>
      </c>
      <c r="C551" s="13" t="s">
        <v>153</v>
      </c>
      <c r="D551" s="7" t="s">
        <v>1293</v>
      </c>
      <c r="E551" s="2" t="s">
        <v>1306</v>
      </c>
      <c r="F551" s="2" t="s">
        <v>3</v>
      </c>
      <c r="G551" s="31"/>
      <c r="I5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1" t="str">
        <f>IF(tb_zakazchik[[#This Row],[Столбец1]]&lt;&gt;"",SUM($I$2:I551),"")</f>
        <v/>
      </c>
      <c r="K551" t="str">
        <f>IF(tb_zakazchik[[#This Row],[Столбец1]]&lt;&gt;"",tb_baza[[#This Row],[Гос. номер]],"")</f>
        <v/>
      </c>
    </row>
    <row r="552" spans="1:11" x14ac:dyDescent="0.25">
      <c r="A552" s="17" t="s">
        <v>613</v>
      </c>
      <c r="B552" s="10" t="s">
        <v>612</v>
      </c>
      <c r="C552" s="13" t="s">
        <v>153</v>
      </c>
      <c r="D552" s="7" t="s">
        <v>1293</v>
      </c>
      <c r="E552" s="2" t="s">
        <v>1306</v>
      </c>
      <c r="F552" s="2" t="s">
        <v>3</v>
      </c>
      <c r="G552" s="31"/>
      <c r="I5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2" t="str">
        <f>IF(tb_zakazchik[[#This Row],[Столбец1]]&lt;&gt;"",SUM($I$2:I552),"")</f>
        <v/>
      </c>
      <c r="K552" t="str">
        <f>IF(tb_zakazchik[[#This Row],[Столбец1]]&lt;&gt;"",tb_baza[[#This Row],[Гос. номер]],"")</f>
        <v/>
      </c>
    </row>
    <row r="553" spans="1:11" x14ac:dyDescent="0.25">
      <c r="A553" s="17" t="s">
        <v>641</v>
      </c>
      <c r="B553" s="10" t="s">
        <v>640</v>
      </c>
      <c r="C553" s="13" t="s">
        <v>153</v>
      </c>
      <c r="D553" s="7" t="s">
        <v>1293</v>
      </c>
      <c r="E553" s="2" t="s">
        <v>1306</v>
      </c>
      <c r="F553" s="2" t="s">
        <v>3</v>
      </c>
      <c r="G553" s="31"/>
      <c r="I5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3" t="str">
        <f>IF(tb_zakazchik[[#This Row],[Столбец1]]&lt;&gt;"",SUM($I$2:I553),"")</f>
        <v/>
      </c>
      <c r="K553" t="str">
        <f>IF(tb_zakazchik[[#This Row],[Столбец1]]&lt;&gt;"",tb_baza[[#This Row],[Гос. номер]],"")</f>
        <v/>
      </c>
    </row>
    <row r="554" spans="1:11" x14ac:dyDescent="0.25">
      <c r="A554" s="17" t="s">
        <v>676</v>
      </c>
      <c r="B554" s="10" t="s">
        <v>640</v>
      </c>
      <c r="C554" s="13" t="s">
        <v>153</v>
      </c>
      <c r="D554" s="7" t="s">
        <v>1293</v>
      </c>
      <c r="E554" s="2" t="s">
        <v>1306</v>
      </c>
      <c r="F554" s="2" t="s">
        <v>3</v>
      </c>
      <c r="G554" s="31"/>
      <c r="I5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4" t="str">
        <f>IF(tb_zakazchik[[#This Row],[Столбец1]]&lt;&gt;"",SUM($I$2:I554),"")</f>
        <v/>
      </c>
      <c r="K554" t="str">
        <f>IF(tb_zakazchik[[#This Row],[Столбец1]]&lt;&gt;"",tb_baza[[#This Row],[Гос. номер]],"")</f>
        <v/>
      </c>
    </row>
    <row r="555" spans="1:11" x14ac:dyDescent="0.25">
      <c r="A555" s="17" t="s">
        <v>108</v>
      </c>
      <c r="B555" s="10" t="s">
        <v>107</v>
      </c>
      <c r="C555" s="13" t="s">
        <v>153</v>
      </c>
      <c r="D555" s="7" t="s">
        <v>1293</v>
      </c>
      <c r="E555" s="2" t="s">
        <v>1306</v>
      </c>
      <c r="F555" s="2" t="s">
        <v>3</v>
      </c>
      <c r="G555" s="31"/>
      <c r="I5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5" t="str">
        <f>IF(tb_zakazchik[[#This Row],[Столбец1]]&lt;&gt;"",SUM($I$2:I555),"")</f>
        <v/>
      </c>
      <c r="K555" t="str">
        <f>IF(tb_zakazchik[[#This Row],[Столбец1]]&lt;&gt;"",tb_baza[[#This Row],[Гос. номер]],"")</f>
        <v/>
      </c>
    </row>
    <row r="556" spans="1:11" x14ac:dyDescent="0.25">
      <c r="A556" s="17" t="s">
        <v>650</v>
      </c>
      <c r="B556" s="10" t="s">
        <v>107</v>
      </c>
      <c r="C556" s="13" t="s">
        <v>153</v>
      </c>
      <c r="D556" s="7" t="s">
        <v>1293</v>
      </c>
      <c r="E556" s="2" t="s">
        <v>1306</v>
      </c>
      <c r="F556" s="2" t="s">
        <v>3</v>
      </c>
      <c r="G556" s="31"/>
      <c r="I5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6" t="str">
        <f>IF(tb_zakazchik[[#This Row],[Столбец1]]&lt;&gt;"",SUM($I$2:I556),"")</f>
        <v/>
      </c>
      <c r="K556" t="str">
        <f>IF(tb_zakazchik[[#This Row],[Столбец1]]&lt;&gt;"",tb_baza[[#This Row],[Гос. номер]],"")</f>
        <v/>
      </c>
    </row>
    <row r="557" spans="1:11" x14ac:dyDescent="0.25">
      <c r="A557" s="17" t="s">
        <v>592</v>
      </c>
      <c r="B557" s="10" t="s">
        <v>107</v>
      </c>
      <c r="C557" s="13" t="s">
        <v>153</v>
      </c>
      <c r="D557" s="7" t="s">
        <v>1293</v>
      </c>
      <c r="E557" s="2" t="s">
        <v>1306</v>
      </c>
      <c r="F557" s="2" t="s">
        <v>3</v>
      </c>
      <c r="G557" s="31"/>
      <c r="I5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7" t="str">
        <f>IF(tb_zakazchik[[#This Row],[Столбец1]]&lt;&gt;"",SUM($I$2:I557),"")</f>
        <v/>
      </c>
      <c r="K557" t="str">
        <f>IF(tb_zakazchik[[#This Row],[Столбец1]]&lt;&gt;"",tb_baza[[#This Row],[Гос. номер]],"")</f>
        <v/>
      </c>
    </row>
    <row r="558" spans="1:11" x14ac:dyDescent="0.25">
      <c r="A558" s="17" t="s">
        <v>995</v>
      </c>
      <c r="B558" s="10" t="s">
        <v>371</v>
      </c>
      <c r="C558" s="13" t="s">
        <v>153</v>
      </c>
      <c r="D558" s="7" t="s">
        <v>1293</v>
      </c>
      <c r="E558" s="2" t="s">
        <v>12</v>
      </c>
      <c r="F558" s="2" t="s">
        <v>6</v>
      </c>
      <c r="G558" s="31"/>
      <c r="I5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8" t="str">
        <f>IF(tb_zakazchik[[#This Row],[Столбец1]]&lt;&gt;"",SUM($I$2:I558),"")</f>
        <v/>
      </c>
      <c r="K558" t="str">
        <f>IF(tb_zakazchik[[#This Row],[Столбец1]]&lt;&gt;"",tb_baza[[#This Row],[Гос. номер]],"")</f>
        <v/>
      </c>
    </row>
    <row r="559" spans="1:11" x14ac:dyDescent="0.25">
      <c r="A559" s="17" t="s">
        <v>996</v>
      </c>
      <c r="B559" s="10" t="s">
        <v>371</v>
      </c>
      <c r="C559" s="13" t="s">
        <v>153</v>
      </c>
      <c r="D559" s="7" t="s">
        <v>1293</v>
      </c>
      <c r="E559" s="2" t="s">
        <v>12</v>
      </c>
      <c r="F559" s="2" t="s">
        <v>13</v>
      </c>
      <c r="G559" s="31"/>
      <c r="I5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59" t="str">
        <f>IF(tb_zakazchik[[#This Row],[Столбец1]]&lt;&gt;"",SUM($I$2:I559),"")</f>
        <v/>
      </c>
      <c r="K559" t="str">
        <f>IF(tb_zakazchik[[#This Row],[Столбец1]]&lt;&gt;"",tb_baza[[#This Row],[Гос. номер]],"")</f>
        <v/>
      </c>
    </row>
    <row r="560" spans="1:11" x14ac:dyDescent="0.25">
      <c r="A560" s="17" t="s">
        <v>846</v>
      </c>
      <c r="B560" s="10" t="s">
        <v>845</v>
      </c>
      <c r="C560" s="13" t="s">
        <v>153</v>
      </c>
      <c r="D560" s="7" t="s">
        <v>1291</v>
      </c>
      <c r="E560" s="2" t="s">
        <v>140</v>
      </c>
      <c r="F560" s="2" t="s">
        <v>3</v>
      </c>
      <c r="G560" s="31"/>
      <c r="I5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0" t="str">
        <f>IF(tb_zakazchik[[#This Row],[Столбец1]]&lt;&gt;"",SUM($I$2:I560),"")</f>
        <v/>
      </c>
      <c r="K560" t="str">
        <f>IF(tb_zakazchik[[#This Row],[Столбец1]]&lt;&gt;"",tb_baza[[#This Row],[Гос. номер]],"")</f>
        <v/>
      </c>
    </row>
    <row r="561" spans="1:11" x14ac:dyDescent="0.25">
      <c r="A561" s="17" t="s">
        <v>678</v>
      </c>
      <c r="B561" s="10" t="s">
        <v>9</v>
      </c>
      <c r="C561" s="13" t="s">
        <v>153</v>
      </c>
      <c r="D561" s="7" t="s">
        <v>1294</v>
      </c>
      <c r="E561" s="2" t="s">
        <v>1306</v>
      </c>
      <c r="F561" s="2" t="s">
        <v>3</v>
      </c>
      <c r="G561" s="31"/>
      <c r="I5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1" t="str">
        <f>IF(tb_zakazchik[[#This Row],[Столбец1]]&lt;&gt;"",SUM($I$2:I561),"")</f>
        <v/>
      </c>
      <c r="K561" t="str">
        <f>IF(tb_zakazchik[[#This Row],[Столбец1]]&lt;&gt;"",tb_baza[[#This Row],[Гос. номер]],"")</f>
        <v/>
      </c>
    </row>
    <row r="562" spans="1:11" x14ac:dyDescent="0.25">
      <c r="A562" s="17" t="s">
        <v>708</v>
      </c>
      <c r="B562" s="10" t="s">
        <v>166</v>
      </c>
      <c r="C562" s="13" t="s">
        <v>153</v>
      </c>
      <c r="D562" s="7" t="s">
        <v>1294</v>
      </c>
      <c r="E562" s="2" t="s">
        <v>1306</v>
      </c>
      <c r="F562" s="2" t="s">
        <v>13</v>
      </c>
      <c r="G562" s="31"/>
      <c r="I5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2" t="str">
        <f>IF(tb_zakazchik[[#This Row],[Столбец1]]&lt;&gt;"",SUM($I$2:I562),"")</f>
        <v/>
      </c>
      <c r="K562" t="str">
        <f>IF(tb_zakazchik[[#This Row],[Столбец1]]&lt;&gt;"",tb_baza[[#This Row],[Гос. номер]],"")</f>
        <v/>
      </c>
    </row>
    <row r="563" spans="1:11" x14ac:dyDescent="0.25">
      <c r="A563" s="17" t="s">
        <v>259</v>
      </c>
      <c r="B563" s="10" t="s">
        <v>258</v>
      </c>
      <c r="C563" s="13" t="s">
        <v>153</v>
      </c>
      <c r="D563" s="7" t="s">
        <v>1294</v>
      </c>
      <c r="E563" s="2" t="s">
        <v>1306</v>
      </c>
      <c r="F563" s="2" t="s">
        <v>3</v>
      </c>
      <c r="G563" s="31"/>
      <c r="I5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3" t="str">
        <f>IF(tb_zakazchik[[#This Row],[Столбец1]]&lt;&gt;"",SUM($I$2:I563),"")</f>
        <v/>
      </c>
      <c r="K563" t="str">
        <f>IF(tb_zakazchik[[#This Row],[Столбец1]]&lt;&gt;"",tb_baza[[#This Row],[Гос. номер]],"")</f>
        <v/>
      </c>
    </row>
    <row r="564" spans="1:11" x14ac:dyDescent="0.25">
      <c r="A564" s="17" t="s">
        <v>682</v>
      </c>
      <c r="B564" s="10" t="s">
        <v>679</v>
      </c>
      <c r="C564" s="13" t="s">
        <v>153</v>
      </c>
      <c r="D564" s="7" t="s">
        <v>1294</v>
      </c>
      <c r="E564" s="2" t="s">
        <v>1306</v>
      </c>
      <c r="F564" s="2" t="s">
        <v>3</v>
      </c>
      <c r="G564" s="31"/>
      <c r="I5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4" t="str">
        <f>IF(tb_zakazchik[[#This Row],[Столбец1]]&lt;&gt;"",SUM($I$2:I564),"")</f>
        <v/>
      </c>
      <c r="K564" t="str">
        <f>IF(tb_zakazchik[[#This Row],[Столбец1]]&lt;&gt;"",tb_baza[[#This Row],[Гос. номер]],"")</f>
        <v/>
      </c>
    </row>
    <row r="565" spans="1:11" x14ac:dyDescent="0.25">
      <c r="A565" s="17" t="s">
        <v>402</v>
      </c>
      <c r="B565" s="10" t="s">
        <v>18</v>
      </c>
      <c r="C565" s="13" t="s">
        <v>153</v>
      </c>
      <c r="D565" s="7" t="s">
        <v>1294</v>
      </c>
      <c r="E565" s="2" t="s">
        <v>1306</v>
      </c>
      <c r="F565" s="2" t="s">
        <v>3</v>
      </c>
      <c r="G565" s="31"/>
      <c r="I5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5" t="str">
        <f>IF(tb_zakazchik[[#This Row],[Столбец1]]&lt;&gt;"",SUM($I$2:I565),"")</f>
        <v/>
      </c>
      <c r="K565" t="str">
        <f>IF(tb_zakazchik[[#This Row],[Столбец1]]&lt;&gt;"",tb_baza[[#This Row],[Гос. номер]],"")</f>
        <v/>
      </c>
    </row>
    <row r="566" spans="1:11" x14ac:dyDescent="0.25">
      <c r="A566" s="17" t="s">
        <v>401</v>
      </c>
      <c r="B566" s="10" t="s">
        <v>18</v>
      </c>
      <c r="C566" s="13" t="s">
        <v>153</v>
      </c>
      <c r="D566" s="7" t="s">
        <v>1294</v>
      </c>
      <c r="E566" s="2" t="s">
        <v>1306</v>
      </c>
      <c r="F566" s="2" t="s">
        <v>3</v>
      </c>
      <c r="G566" s="31"/>
      <c r="I5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6" t="str">
        <f>IF(tb_zakazchik[[#This Row],[Столбец1]]&lt;&gt;"",SUM($I$2:I566),"")</f>
        <v/>
      </c>
      <c r="K566" t="str">
        <f>IF(tb_zakazchik[[#This Row],[Столбец1]]&lt;&gt;"",tb_baza[[#This Row],[Гос. номер]],"")</f>
        <v/>
      </c>
    </row>
    <row r="567" spans="1:11" x14ac:dyDescent="0.25">
      <c r="A567" s="17" t="s">
        <v>680</v>
      </c>
      <c r="B567" s="10" t="s">
        <v>679</v>
      </c>
      <c r="C567" s="13" t="s">
        <v>153</v>
      </c>
      <c r="D567" s="7" t="s">
        <v>1294</v>
      </c>
      <c r="E567" s="2" t="s">
        <v>1306</v>
      </c>
      <c r="F567" s="2" t="s">
        <v>3</v>
      </c>
      <c r="G567" s="31"/>
      <c r="I5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7" t="str">
        <f>IF(tb_zakazchik[[#This Row],[Столбец1]]&lt;&gt;"",SUM($I$2:I567),"")</f>
        <v/>
      </c>
      <c r="K567" t="str">
        <f>IF(tb_zakazchik[[#This Row],[Столбец1]]&lt;&gt;"",tb_baza[[#This Row],[Гос. номер]],"")</f>
        <v/>
      </c>
    </row>
    <row r="568" spans="1:11" x14ac:dyDescent="0.25">
      <c r="A568" s="17" t="s">
        <v>254</v>
      </c>
      <c r="B568" s="10" t="s">
        <v>9</v>
      </c>
      <c r="C568" s="13" t="s">
        <v>153</v>
      </c>
      <c r="D568" s="7" t="s">
        <v>1294</v>
      </c>
      <c r="E568" s="2" t="s">
        <v>1306</v>
      </c>
      <c r="F568" s="2" t="s">
        <v>3</v>
      </c>
      <c r="G568" s="31"/>
      <c r="I5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8" t="str">
        <f>IF(tb_zakazchik[[#This Row],[Столбец1]]&lt;&gt;"",SUM($I$2:I568),"")</f>
        <v/>
      </c>
      <c r="K568" t="str">
        <f>IF(tb_zakazchik[[#This Row],[Столбец1]]&lt;&gt;"",tb_baza[[#This Row],[Гос. номер]],"")</f>
        <v/>
      </c>
    </row>
    <row r="569" spans="1:11" x14ac:dyDescent="0.25">
      <c r="A569" s="17" t="s">
        <v>475</v>
      </c>
      <c r="B569" s="10" t="s">
        <v>9</v>
      </c>
      <c r="C569" s="13" t="s">
        <v>153</v>
      </c>
      <c r="D569" s="7" t="s">
        <v>1294</v>
      </c>
      <c r="E569" s="2" t="s">
        <v>1306</v>
      </c>
      <c r="F569" s="2" t="s">
        <v>6</v>
      </c>
      <c r="G569" s="31"/>
      <c r="I5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69" t="str">
        <f>IF(tb_zakazchik[[#This Row],[Столбец1]]&lt;&gt;"",SUM($I$2:I569),"")</f>
        <v/>
      </c>
      <c r="K569" t="str">
        <f>IF(tb_zakazchik[[#This Row],[Столбец1]]&lt;&gt;"",tb_baza[[#This Row],[Гос. номер]],"")</f>
        <v/>
      </c>
    </row>
    <row r="570" spans="1:11" x14ac:dyDescent="0.25">
      <c r="A570" s="17" t="s">
        <v>630</v>
      </c>
      <c r="B570" s="10" t="s">
        <v>9</v>
      </c>
      <c r="C570" s="13" t="s">
        <v>153</v>
      </c>
      <c r="D570" s="7" t="s">
        <v>1294</v>
      </c>
      <c r="E570" s="2" t="s">
        <v>1306</v>
      </c>
      <c r="F570" s="2" t="s">
        <v>3</v>
      </c>
      <c r="G570" s="31"/>
      <c r="I5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0" t="str">
        <f>IF(tb_zakazchik[[#This Row],[Столбец1]]&lt;&gt;"",SUM($I$2:I570),"")</f>
        <v/>
      </c>
      <c r="K570" t="str">
        <f>IF(tb_zakazchik[[#This Row],[Столбец1]]&lt;&gt;"",tb_baza[[#This Row],[Гос. номер]],"")</f>
        <v/>
      </c>
    </row>
    <row r="571" spans="1:11" x14ac:dyDescent="0.25">
      <c r="A571" s="17" t="s">
        <v>685</v>
      </c>
      <c r="B571" s="10" t="s">
        <v>9</v>
      </c>
      <c r="C571" s="13" t="s">
        <v>153</v>
      </c>
      <c r="D571" s="7" t="s">
        <v>1294</v>
      </c>
      <c r="E571" s="2" t="s">
        <v>1306</v>
      </c>
      <c r="F571" s="2" t="s">
        <v>3</v>
      </c>
      <c r="G571" s="31"/>
      <c r="I5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1" t="str">
        <f>IF(tb_zakazchik[[#This Row],[Столбец1]]&lt;&gt;"",SUM($I$2:I571),"")</f>
        <v/>
      </c>
      <c r="K571" t="str">
        <f>IF(tb_zakazchik[[#This Row],[Столбец1]]&lt;&gt;"",tb_baza[[#This Row],[Гос. номер]],"")</f>
        <v/>
      </c>
    </row>
    <row r="572" spans="1:11" x14ac:dyDescent="0.25">
      <c r="A572" s="17" t="s">
        <v>677</v>
      </c>
      <c r="B572" s="10" t="s">
        <v>9</v>
      </c>
      <c r="C572" s="13" t="s">
        <v>153</v>
      </c>
      <c r="D572" s="7" t="s">
        <v>1294</v>
      </c>
      <c r="E572" s="2" t="s">
        <v>1306</v>
      </c>
      <c r="F572" s="2" t="s">
        <v>13</v>
      </c>
      <c r="G572" s="31"/>
      <c r="I5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2" t="str">
        <f>IF(tb_zakazchik[[#This Row],[Столбец1]]&lt;&gt;"",SUM($I$2:I572),"")</f>
        <v/>
      </c>
      <c r="K572" t="str">
        <f>IF(tb_zakazchik[[#This Row],[Столбец1]]&lt;&gt;"",tb_baza[[#This Row],[Гос. номер]],"")</f>
        <v/>
      </c>
    </row>
    <row r="573" spans="1:11" x14ac:dyDescent="0.25">
      <c r="A573" s="17" t="s">
        <v>686</v>
      </c>
      <c r="B573" s="10" t="s">
        <v>679</v>
      </c>
      <c r="C573" s="13" t="s">
        <v>153</v>
      </c>
      <c r="D573" s="7" t="s">
        <v>1294</v>
      </c>
      <c r="E573" s="2" t="s">
        <v>1306</v>
      </c>
      <c r="F573" s="2" t="s">
        <v>3</v>
      </c>
      <c r="G573" s="31"/>
      <c r="I5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3" t="str">
        <f>IF(tb_zakazchik[[#This Row],[Столбец1]]&lt;&gt;"",SUM($I$2:I573),"")</f>
        <v/>
      </c>
      <c r="K573" t="str">
        <f>IF(tb_zakazchik[[#This Row],[Столбец1]]&lt;&gt;"",tb_baza[[#This Row],[Гос. номер]],"")</f>
        <v/>
      </c>
    </row>
    <row r="574" spans="1:11" x14ac:dyDescent="0.25">
      <c r="A574" s="17" t="s">
        <v>10</v>
      </c>
      <c r="B574" s="10" t="s">
        <v>9</v>
      </c>
      <c r="C574" s="13" t="s">
        <v>153</v>
      </c>
      <c r="D574" s="7" t="s">
        <v>1294</v>
      </c>
      <c r="E574" s="2" t="s">
        <v>1306</v>
      </c>
      <c r="F574" s="2" t="s">
        <v>6</v>
      </c>
      <c r="G574" s="31"/>
      <c r="I5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4" t="str">
        <f>IF(tb_zakazchik[[#This Row],[Столбец1]]&lt;&gt;"",SUM($I$2:I574),"")</f>
        <v/>
      </c>
      <c r="K574" t="str">
        <f>IF(tb_zakazchik[[#This Row],[Столбец1]]&lt;&gt;"",tb_baza[[#This Row],[Гос. номер]],"")</f>
        <v/>
      </c>
    </row>
    <row r="575" spans="1:11" x14ac:dyDescent="0.25">
      <c r="A575" s="17" t="s">
        <v>960</v>
      </c>
      <c r="B575" s="10" t="s">
        <v>9</v>
      </c>
      <c r="C575" s="13" t="s">
        <v>153</v>
      </c>
      <c r="D575" s="7" t="s">
        <v>1294</v>
      </c>
      <c r="E575" s="2" t="s">
        <v>1306</v>
      </c>
      <c r="F575" s="2" t="s">
        <v>13</v>
      </c>
      <c r="G575" s="31"/>
      <c r="I5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5" t="str">
        <f>IF(tb_zakazchik[[#This Row],[Столбец1]]&lt;&gt;"",SUM($I$2:I575),"")</f>
        <v/>
      </c>
      <c r="K575" t="str">
        <f>IF(tb_zakazchik[[#This Row],[Столбец1]]&lt;&gt;"",tb_baza[[#This Row],[Гос. номер]],"")</f>
        <v/>
      </c>
    </row>
    <row r="576" spans="1:11" x14ac:dyDescent="0.25">
      <c r="A576" s="17" t="s">
        <v>167</v>
      </c>
      <c r="B576" s="10" t="s">
        <v>166</v>
      </c>
      <c r="C576" s="13" t="s">
        <v>153</v>
      </c>
      <c r="D576" s="7" t="s">
        <v>1294</v>
      </c>
      <c r="E576" s="2" t="s">
        <v>1306</v>
      </c>
      <c r="F576" s="2" t="s">
        <v>6</v>
      </c>
      <c r="G576" s="31"/>
      <c r="I5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6" t="str">
        <f>IF(tb_zakazchik[[#This Row],[Столбец1]]&lt;&gt;"",SUM($I$2:I576),"")</f>
        <v/>
      </c>
      <c r="K576" t="str">
        <f>IF(tb_zakazchik[[#This Row],[Столбец1]]&lt;&gt;"",tb_baza[[#This Row],[Гос. номер]],"")</f>
        <v/>
      </c>
    </row>
    <row r="577" spans="1:11" x14ac:dyDescent="0.25">
      <c r="A577" s="17" t="s">
        <v>445</v>
      </c>
      <c r="B577" s="10" t="s">
        <v>9</v>
      </c>
      <c r="C577" s="13" t="s">
        <v>153</v>
      </c>
      <c r="D577" s="7" t="s">
        <v>1294</v>
      </c>
      <c r="E577" s="2" t="s">
        <v>1306</v>
      </c>
      <c r="F577" s="2" t="s">
        <v>3</v>
      </c>
      <c r="G577" s="31"/>
      <c r="I5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7" t="str">
        <f>IF(tb_zakazchik[[#This Row],[Столбец1]]&lt;&gt;"",SUM($I$2:I577),"")</f>
        <v/>
      </c>
      <c r="K577" t="str">
        <f>IF(tb_zakazchik[[#This Row],[Столбец1]]&lt;&gt;"",tb_baza[[#This Row],[Гос. номер]],"")</f>
        <v/>
      </c>
    </row>
    <row r="578" spans="1:11" x14ac:dyDescent="0.25">
      <c r="A578" s="17" t="s">
        <v>19</v>
      </c>
      <c r="B578" s="10" t="s">
        <v>18</v>
      </c>
      <c r="C578" s="13" t="s">
        <v>153</v>
      </c>
      <c r="D578" s="7" t="s">
        <v>1294</v>
      </c>
      <c r="E578" s="2" t="s">
        <v>1306</v>
      </c>
      <c r="F578" s="2" t="s">
        <v>3</v>
      </c>
      <c r="G578" s="31"/>
      <c r="I5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8" t="str">
        <f>IF(tb_zakazchik[[#This Row],[Столбец1]]&lt;&gt;"",SUM($I$2:I578),"")</f>
        <v/>
      </c>
      <c r="K578" t="str">
        <f>IF(tb_zakazchik[[#This Row],[Столбец1]]&lt;&gt;"",tb_baza[[#This Row],[Гос. номер]],"")</f>
        <v/>
      </c>
    </row>
    <row r="579" spans="1:11" x14ac:dyDescent="0.25">
      <c r="A579" s="17" t="s">
        <v>847</v>
      </c>
      <c r="B579" s="10" t="s">
        <v>679</v>
      </c>
      <c r="C579" s="13" t="s">
        <v>153</v>
      </c>
      <c r="D579" s="7" t="s">
        <v>1294</v>
      </c>
      <c r="E579" s="2" t="s">
        <v>1306</v>
      </c>
      <c r="F579" s="2" t="s">
        <v>3</v>
      </c>
      <c r="G579" s="31"/>
      <c r="I5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79" t="str">
        <f>IF(tb_zakazchik[[#This Row],[Столбец1]]&lt;&gt;"",SUM($I$2:I579),"")</f>
        <v/>
      </c>
      <c r="K579" t="str">
        <f>IF(tb_zakazchik[[#This Row],[Столбец1]]&lt;&gt;"",tb_baza[[#This Row],[Гос. номер]],"")</f>
        <v/>
      </c>
    </row>
    <row r="580" spans="1:11" x14ac:dyDescent="0.25">
      <c r="A580" s="17" t="s">
        <v>503</v>
      </c>
      <c r="B580" s="10" t="s">
        <v>9</v>
      </c>
      <c r="C580" s="13" t="s">
        <v>153</v>
      </c>
      <c r="D580" s="7" t="s">
        <v>1294</v>
      </c>
      <c r="E580" s="2" t="s">
        <v>1306</v>
      </c>
      <c r="F580" s="2" t="s">
        <v>3</v>
      </c>
      <c r="G580" s="31"/>
      <c r="I5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0" t="str">
        <f>IF(tb_zakazchik[[#This Row],[Столбец1]]&lt;&gt;"",SUM($I$2:I580),"")</f>
        <v/>
      </c>
      <c r="K580" t="str">
        <f>IF(tb_zakazchik[[#This Row],[Столбец1]]&lt;&gt;"",tb_baza[[#This Row],[Гос. номер]],"")</f>
        <v/>
      </c>
    </row>
    <row r="581" spans="1:11" x14ac:dyDescent="0.25">
      <c r="A581" s="17" t="s">
        <v>629</v>
      </c>
      <c r="B581" s="10" t="s">
        <v>9</v>
      </c>
      <c r="C581" s="13" t="s">
        <v>153</v>
      </c>
      <c r="D581" s="7" t="s">
        <v>1294</v>
      </c>
      <c r="E581" s="2" t="s">
        <v>1306</v>
      </c>
      <c r="F581" s="2" t="s">
        <v>3</v>
      </c>
      <c r="G581" s="31"/>
      <c r="I5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1" t="str">
        <f>IF(tb_zakazchik[[#This Row],[Столбец1]]&lt;&gt;"",SUM($I$2:I581),"")</f>
        <v/>
      </c>
      <c r="K581" t="str">
        <f>IF(tb_zakazchik[[#This Row],[Столбец1]]&lt;&gt;"",tb_baza[[#This Row],[Гос. номер]],"")</f>
        <v/>
      </c>
    </row>
    <row r="582" spans="1:11" x14ac:dyDescent="0.25">
      <c r="A582" s="17" t="s">
        <v>681</v>
      </c>
      <c r="B582" s="10" t="s">
        <v>679</v>
      </c>
      <c r="C582" s="13" t="s">
        <v>153</v>
      </c>
      <c r="D582" s="7" t="s">
        <v>1294</v>
      </c>
      <c r="E582" s="2" t="s">
        <v>1306</v>
      </c>
      <c r="F582" s="2" t="s">
        <v>13</v>
      </c>
      <c r="G582" s="31"/>
      <c r="I5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2" t="str">
        <f>IF(tb_zakazchik[[#This Row],[Столбец1]]&lt;&gt;"",SUM($I$2:I582),"")</f>
        <v/>
      </c>
      <c r="K582" t="str">
        <f>IF(tb_zakazchik[[#This Row],[Столбец1]]&lt;&gt;"",tb_baza[[#This Row],[Гос. номер]],"")</f>
        <v/>
      </c>
    </row>
    <row r="583" spans="1:11" x14ac:dyDescent="0.25">
      <c r="A583" s="17" t="s">
        <v>871</v>
      </c>
      <c r="B583" s="10" t="s">
        <v>9</v>
      </c>
      <c r="C583" s="13" t="s">
        <v>153</v>
      </c>
      <c r="D583" s="7" t="s">
        <v>1294</v>
      </c>
      <c r="E583" s="2" t="s">
        <v>1306</v>
      </c>
      <c r="F583" s="2" t="s">
        <v>6</v>
      </c>
      <c r="G583" s="31"/>
      <c r="I5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3" t="str">
        <f>IF(tb_zakazchik[[#This Row],[Столбец1]]&lt;&gt;"",SUM($I$2:I583),"")</f>
        <v/>
      </c>
      <c r="K583" t="str">
        <f>IF(tb_zakazchik[[#This Row],[Столбец1]]&lt;&gt;"",tb_baza[[#This Row],[Гос. номер]],"")</f>
        <v/>
      </c>
    </row>
    <row r="584" spans="1:11" x14ac:dyDescent="0.25">
      <c r="A584" s="17" t="s">
        <v>458</v>
      </c>
      <c r="B584" s="10" t="s">
        <v>9</v>
      </c>
      <c r="C584" s="13" t="s">
        <v>153</v>
      </c>
      <c r="D584" s="7" t="s">
        <v>1294</v>
      </c>
      <c r="E584" s="2" t="s">
        <v>1306</v>
      </c>
      <c r="F584" s="2" t="s">
        <v>13</v>
      </c>
      <c r="G584" s="31"/>
      <c r="I5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4" t="str">
        <f>IF(tb_zakazchik[[#This Row],[Столбец1]]&lt;&gt;"",SUM($I$2:I584),"")</f>
        <v/>
      </c>
      <c r="K584" t="str">
        <f>IF(tb_zakazchik[[#This Row],[Столбец1]]&lt;&gt;"",tb_baza[[#This Row],[Гос. номер]],"")</f>
        <v/>
      </c>
    </row>
    <row r="585" spans="1:11" x14ac:dyDescent="0.25">
      <c r="A585" s="17" t="s">
        <v>977</v>
      </c>
      <c r="B585" s="10" t="s">
        <v>9</v>
      </c>
      <c r="C585" s="13" t="s">
        <v>153</v>
      </c>
      <c r="D585" s="7" t="s">
        <v>1294</v>
      </c>
      <c r="E585" s="2" t="s">
        <v>1306</v>
      </c>
      <c r="F585" s="2" t="s">
        <v>3</v>
      </c>
      <c r="G585" s="31"/>
      <c r="I5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5" t="str">
        <f>IF(tb_zakazchik[[#This Row],[Столбец1]]&lt;&gt;"",SUM($I$2:I585),"")</f>
        <v/>
      </c>
      <c r="K585" t="str">
        <f>IF(tb_zakazchik[[#This Row],[Столбец1]]&lt;&gt;"",tb_baza[[#This Row],[Гос. номер]],"")</f>
        <v/>
      </c>
    </row>
    <row r="586" spans="1:11" x14ac:dyDescent="0.25">
      <c r="A586" s="17" t="s">
        <v>720</v>
      </c>
      <c r="B586" s="10" t="s">
        <v>166</v>
      </c>
      <c r="C586" s="13" t="s">
        <v>153</v>
      </c>
      <c r="D586" s="7" t="s">
        <v>1294</v>
      </c>
      <c r="E586" s="2" t="s">
        <v>1306</v>
      </c>
      <c r="F586" s="2" t="s">
        <v>13</v>
      </c>
      <c r="G586" s="31"/>
      <c r="I5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6" t="str">
        <f>IF(tb_zakazchik[[#This Row],[Столбец1]]&lt;&gt;"",SUM($I$2:I586),"")</f>
        <v/>
      </c>
      <c r="K586" t="str">
        <f>IF(tb_zakazchik[[#This Row],[Столбец1]]&lt;&gt;"",tb_baza[[#This Row],[Гос. номер]],"")</f>
        <v/>
      </c>
    </row>
    <row r="587" spans="1:11" x14ac:dyDescent="0.25">
      <c r="A587" s="17" t="s">
        <v>628</v>
      </c>
      <c r="B587" s="10" t="s">
        <v>9</v>
      </c>
      <c r="C587" s="13" t="s">
        <v>153</v>
      </c>
      <c r="D587" s="7" t="s">
        <v>1294</v>
      </c>
      <c r="E587" s="2" t="s">
        <v>1306</v>
      </c>
      <c r="F587" s="2" t="s">
        <v>3</v>
      </c>
      <c r="G587" s="31"/>
      <c r="I5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7" t="str">
        <f>IF(tb_zakazchik[[#This Row],[Столбец1]]&lt;&gt;"",SUM($I$2:I587),"")</f>
        <v/>
      </c>
      <c r="K587" t="str">
        <f>IF(tb_zakazchik[[#This Row],[Столбец1]]&lt;&gt;"",tb_baza[[#This Row],[Гос. номер]],"")</f>
        <v/>
      </c>
    </row>
    <row r="588" spans="1:11" x14ac:dyDescent="0.25">
      <c r="A588" s="17" t="s">
        <v>1005</v>
      </c>
      <c r="B588" s="10" t="s">
        <v>1001</v>
      </c>
      <c r="C588" s="13" t="s">
        <v>153</v>
      </c>
      <c r="D588" s="7" t="s">
        <v>1294</v>
      </c>
      <c r="E588" s="2" t="s">
        <v>1306</v>
      </c>
      <c r="F588" s="2" t="s">
        <v>3</v>
      </c>
      <c r="G588" s="31"/>
      <c r="I5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8" t="str">
        <f>IF(tb_zakazchik[[#This Row],[Столбец1]]&lt;&gt;"",SUM($I$2:I588),"")</f>
        <v/>
      </c>
      <c r="K588" t="str">
        <f>IF(tb_zakazchik[[#This Row],[Столбец1]]&lt;&gt;"",tb_baza[[#This Row],[Гос. номер]],"")</f>
        <v/>
      </c>
    </row>
    <row r="589" spans="1:11" x14ac:dyDescent="0.25">
      <c r="A589" s="17" t="s">
        <v>1004</v>
      </c>
      <c r="B589" s="10" t="s">
        <v>1001</v>
      </c>
      <c r="C589" s="13" t="s">
        <v>153</v>
      </c>
      <c r="D589" s="7" t="s">
        <v>1294</v>
      </c>
      <c r="E589" s="2" t="s">
        <v>1306</v>
      </c>
      <c r="F589" s="2" t="s">
        <v>3</v>
      </c>
      <c r="G589" s="31"/>
      <c r="I5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89" t="str">
        <f>IF(tb_zakazchik[[#This Row],[Столбец1]]&lt;&gt;"",SUM($I$2:I589),"")</f>
        <v/>
      </c>
      <c r="K589" t="str">
        <f>IF(tb_zakazchik[[#This Row],[Столбец1]]&lt;&gt;"",tb_baza[[#This Row],[Гос. номер]],"")</f>
        <v/>
      </c>
    </row>
    <row r="590" spans="1:11" x14ac:dyDescent="0.25">
      <c r="A590" s="17" t="s">
        <v>1002</v>
      </c>
      <c r="B590" s="10" t="s">
        <v>1001</v>
      </c>
      <c r="C590" s="13" t="s">
        <v>153</v>
      </c>
      <c r="D590" s="7" t="s">
        <v>1294</v>
      </c>
      <c r="E590" s="2" t="s">
        <v>1306</v>
      </c>
      <c r="F590" s="2" t="s">
        <v>3</v>
      </c>
      <c r="G590" s="31"/>
      <c r="I5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0" t="str">
        <f>IF(tb_zakazchik[[#This Row],[Столбец1]]&lt;&gt;"",SUM($I$2:I590),"")</f>
        <v/>
      </c>
      <c r="K590" t="str">
        <f>IF(tb_zakazchik[[#This Row],[Столбец1]]&lt;&gt;"",tb_baza[[#This Row],[Гос. номер]],"")</f>
        <v/>
      </c>
    </row>
    <row r="591" spans="1:11" x14ac:dyDescent="0.25">
      <c r="A591" s="17" t="s">
        <v>1003</v>
      </c>
      <c r="B591" s="10" t="s">
        <v>1001</v>
      </c>
      <c r="C591" s="13" t="s">
        <v>153</v>
      </c>
      <c r="D591" s="7" t="s">
        <v>1294</v>
      </c>
      <c r="E591" s="2" t="s">
        <v>1306</v>
      </c>
      <c r="F591" s="2" t="s">
        <v>3</v>
      </c>
      <c r="G591" s="31"/>
      <c r="I5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1" t="str">
        <f>IF(tb_zakazchik[[#This Row],[Столбец1]]&lt;&gt;"",SUM($I$2:I591),"")</f>
        <v/>
      </c>
      <c r="K591" t="str">
        <f>IF(tb_zakazchik[[#This Row],[Столбец1]]&lt;&gt;"",tb_baza[[#This Row],[Гос. номер]],"")</f>
        <v/>
      </c>
    </row>
    <row r="592" spans="1:11" x14ac:dyDescent="0.25">
      <c r="A592" s="17" t="s">
        <v>1008</v>
      </c>
      <c r="B592" s="10" t="s">
        <v>1006</v>
      </c>
      <c r="C592" s="13" t="s">
        <v>153</v>
      </c>
      <c r="D592" s="7" t="s">
        <v>1294</v>
      </c>
      <c r="E592" s="2" t="s">
        <v>1306</v>
      </c>
      <c r="F592" s="2" t="s">
        <v>3</v>
      </c>
      <c r="G592" s="31"/>
      <c r="I5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2" t="str">
        <f>IF(tb_zakazchik[[#This Row],[Столбец1]]&lt;&gt;"",SUM($I$2:I592),"")</f>
        <v/>
      </c>
      <c r="K592" t="str">
        <f>IF(tb_zakazchik[[#This Row],[Столбец1]]&lt;&gt;"",tb_baza[[#This Row],[Гос. номер]],"")</f>
        <v/>
      </c>
    </row>
    <row r="593" spans="1:11" x14ac:dyDescent="0.25">
      <c r="A593" s="17" t="s">
        <v>1007</v>
      </c>
      <c r="B593" s="10" t="s">
        <v>1006</v>
      </c>
      <c r="C593" s="13" t="s">
        <v>153</v>
      </c>
      <c r="D593" s="7" t="s">
        <v>1294</v>
      </c>
      <c r="E593" s="2" t="s">
        <v>1306</v>
      </c>
      <c r="F593" s="2" t="s">
        <v>3</v>
      </c>
      <c r="G593" s="31"/>
      <c r="I5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3" t="str">
        <f>IF(tb_zakazchik[[#This Row],[Столбец1]]&lt;&gt;"",SUM($I$2:I593),"")</f>
        <v/>
      </c>
      <c r="K593" t="str">
        <f>IF(tb_zakazchik[[#This Row],[Столбец1]]&lt;&gt;"",tb_baza[[#This Row],[Гос. номер]],"")</f>
        <v/>
      </c>
    </row>
    <row r="594" spans="1:11" x14ac:dyDescent="0.25">
      <c r="A594" s="17" t="s">
        <v>175</v>
      </c>
      <c r="B594" s="10" t="s">
        <v>174</v>
      </c>
      <c r="C594" s="13" t="s">
        <v>153</v>
      </c>
      <c r="D594" s="7" t="s">
        <v>1294</v>
      </c>
      <c r="E594" s="2" t="s">
        <v>1306</v>
      </c>
      <c r="F594" s="2" t="s">
        <v>13</v>
      </c>
      <c r="G594" s="31"/>
      <c r="I5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4" t="str">
        <f>IF(tb_zakazchik[[#This Row],[Столбец1]]&lt;&gt;"",SUM($I$2:I594),"")</f>
        <v/>
      </c>
      <c r="K594" t="str">
        <f>IF(tb_zakazchik[[#This Row],[Столбец1]]&lt;&gt;"",tb_baza[[#This Row],[Гос. номер]],"")</f>
        <v/>
      </c>
    </row>
    <row r="595" spans="1:11" x14ac:dyDescent="0.25">
      <c r="A595" s="17" t="s">
        <v>70</v>
      </c>
      <c r="B595" s="10" t="s">
        <v>69</v>
      </c>
      <c r="C595" s="13" t="s">
        <v>153</v>
      </c>
      <c r="D595" s="7" t="s">
        <v>1294</v>
      </c>
      <c r="E595" s="2" t="s">
        <v>1306</v>
      </c>
      <c r="F595" s="2" t="s">
        <v>3</v>
      </c>
      <c r="G595" s="31"/>
      <c r="I5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5" t="str">
        <f>IF(tb_zakazchik[[#This Row],[Столбец1]]&lt;&gt;"",SUM($I$2:I595),"")</f>
        <v/>
      </c>
      <c r="K595" t="str">
        <f>IF(tb_zakazchik[[#This Row],[Столбец1]]&lt;&gt;"",tb_baza[[#This Row],[Гос. номер]],"")</f>
        <v/>
      </c>
    </row>
    <row r="596" spans="1:11" x14ac:dyDescent="0.25">
      <c r="A596" s="17" t="s">
        <v>490</v>
      </c>
      <c r="B596" s="10" t="s">
        <v>412</v>
      </c>
      <c r="C596" s="13" t="s">
        <v>153</v>
      </c>
      <c r="D596" s="7" t="s">
        <v>1294</v>
      </c>
      <c r="E596" s="2" t="s">
        <v>1306</v>
      </c>
      <c r="F596" s="2" t="s">
        <v>3</v>
      </c>
      <c r="G596" s="31"/>
      <c r="I5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6" t="str">
        <f>IF(tb_zakazchik[[#This Row],[Столбец1]]&lt;&gt;"",SUM($I$2:I596),"")</f>
        <v/>
      </c>
      <c r="K596" t="str">
        <f>IF(tb_zakazchik[[#This Row],[Столбец1]]&lt;&gt;"",tb_baza[[#This Row],[Гос. номер]],"")</f>
        <v/>
      </c>
    </row>
    <row r="597" spans="1:11" x14ac:dyDescent="0.25">
      <c r="A597" s="17" t="s">
        <v>489</v>
      </c>
      <c r="B597" s="10" t="s">
        <v>412</v>
      </c>
      <c r="C597" s="13" t="s">
        <v>153</v>
      </c>
      <c r="D597" s="7" t="s">
        <v>1294</v>
      </c>
      <c r="E597" s="2" t="s">
        <v>1306</v>
      </c>
      <c r="F597" s="2" t="s">
        <v>3</v>
      </c>
      <c r="G597" s="31"/>
      <c r="I5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7" t="str">
        <f>IF(tb_zakazchik[[#This Row],[Столбец1]]&lt;&gt;"",SUM($I$2:I597),"")</f>
        <v/>
      </c>
      <c r="K597" t="str">
        <f>IF(tb_zakazchik[[#This Row],[Столбец1]]&lt;&gt;"",tb_baza[[#This Row],[Гос. номер]],"")</f>
        <v/>
      </c>
    </row>
    <row r="598" spans="1:11" x14ac:dyDescent="0.25">
      <c r="A598" s="17" t="s">
        <v>477</v>
      </c>
      <c r="B598" s="10" t="s">
        <v>412</v>
      </c>
      <c r="C598" s="13" t="s">
        <v>153</v>
      </c>
      <c r="D598" s="7" t="s">
        <v>1294</v>
      </c>
      <c r="E598" s="2" t="s">
        <v>1306</v>
      </c>
      <c r="F598" s="2" t="s">
        <v>13</v>
      </c>
      <c r="G598" s="31"/>
      <c r="I5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8" t="str">
        <f>IF(tb_zakazchik[[#This Row],[Столбец1]]&lt;&gt;"",SUM($I$2:I598),"")</f>
        <v/>
      </c>
      <c r="K598" t="str">
        <f>IF(tb_zakazchik[[#This Row],[Столбец1]]&lt;&gt;"",tb_baza[[#This Row],[Гос. номер]],"")</f>
        <v/>
      </c>
    </row>
    <row r="599" spans="1:11" x14ac:dyDescent="0.25">
      <c r="A599" s="17" t="s">
        <v>498</v>
      </c>
      <c r="B599" s="10" t="s">
        <v>18</v>
      </c>
      <c r="C599" s="13" t="s">
        <v>153</v>
      </c>
      <c r="D599" s="7" t="s">
        <v>1294</v>
      </c>
      <c r="E599" s="2" t="s">
        <v>1306</v>
      </c>
      <c r="F599" s="2" t="s">
        <v>3</v>
      </c>
      <c r="G599" s="31"/>
      <c r="I5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599" t="str">
        <f>IF(tb_zakazchik[[#This Row],[Столбец1]]&lt;&gt;"",SUM($I$2:I599),"")</f>
        <v/>
      </c>
      <c r="K599" t="str">
        <f>IF(tb_zakazchik[[#This Row],[Столбец1]]&lt;&gt;"",tb_baza[[#This Row],[Гос. номер]],"")</f>
        <v/>
      </c>
    </row>
    <row r="600" spans="1:11" x14ac:dyDescent="0.25">
      <c r="A600" s="17" t="s">
        <v>497</v>
      </c>
      <c r="B600" s="10" t="s">
        <v>18</v>
      </c>
      <c r="C600" s="13" t="s">
        <v>153</v>
      </c>
      <c r="D600" s="7" t="s">
        <v>1294</v>
      </c>
      <c r="E600" s="2" t="s">
        <v>1306</v>
      </c>
      <c r="F600" s="2" t="s">
        <v>3</v>
      </c>
      <c r="G600" s="31"/>
      <c r="I6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0" t="str">
        <f>IF(tb_zakazchik[[#This Row],[Столбец1]]&lt;&gt;"",SUM($I$2:I600),"")</f>
        <v/>
      </c>
      <c r="K600" t="str">
        <f>IF(tb_zakazchik[[#This Row],[Столбец1]]&lt;&gt;"",tb_baza[[#This Row],[Гос. номер]],"")</f>
        <v/>
      </c>
    </row>
    <row r="601" spans="1:11" x14ac:dyDescent="0.25">
      <c r="A601" s="17" t="s">
        <v>499</v>
      </c>
      <c r="B601" s="10" t="s">
        <v>174</v>
      </c>
      <c r="C601" s="13" t="s">
        <v>153</v>
      </c>
      <c r="D601" s="7" t="s">
        <v>1294</v>
      </c>
      <c r="E601" s="2" t="s">
        <v>1306</v>
      </c>
      <c r="F601" s="2" t="s">
        <v>3</v>
      </c>
      <c r="G601" s="31"/>
      <c r="I6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1" t="str">
        <f>IF(tb_zakazchik[[#This Row],[Столбец1]]&lt;&gt;"",SUM($I$2:I601),"")</f>
        <v/>
      </c>
      <c r="K601" t="str">
        <f>IF(tb_zakazchik[[#This Row],[Столбец1]]&lt;&gt;"",tb_baza[[#This Row],[Гос. номер]],"")</f>
        <v/>
      </c>
    </row>
    <row r="602" spans="1:11" x14ac:dyDescent="0.25">
      <c r="A602" s="17" t="s">
        <v>413</v>
      </c>
      <c r="B602" s="10" t="s">
        <v>412</v>
      </c>
      <c r="C602" s="13" t="s">
        <v>153</v>
      </c>
      <c r="D602" s="7" t="s">
        <v>1294</v>
      </c>
      <c r="E602" s="2" t="s">
        <v>1306</v>
      </c>
      <c r="F602" s="2" t="s">
        <v>13</v>
      </c>
      <c r="G602" s="31"/>
      <c r="I6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2" t="str">
        <f>IF(tb_zakazchik[[#This Row],[Столбец1]]&lt;&gt;"",SUM($I$2:I602),"")</f>
        <v/>
      </c>
      <c r="K602" t="str">
        <f>IF(tb_zakazchik[[#This Row],[Столбец1]]&lt;&gt;"",tb_baza[[#This Row],[Гос. номер]],"")</f>
        <v/>
      </c>
    </row>
    <row r="603" spans="1:11" x14ac:dyDescent="0.25">
      <c r="A603" s="17" t="s">
        <v>457</v>
      </c>
      <c r="B603" s="10" t="s">
        <v>174</v>
      </c>
      <c r="C603" s="13" t="s">
        <v>153</v>
      </c>
      <c r="D603" s="7" t="s">
        <v>1294</v>
      </c>
      <c r="E603" s="2" t="s">
        <v>1306</v>
      </c>
      <c r="F603" s="2" t="s">
        <v>3</v>
      </c>
      <c r="G603" s="31"/>
      <c r="I6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3" t="str">
        <f>IF(tb_zakazchik[[#This Row],[Столбец1]]&lt;&gt;"",SUM($I$2:I603),"")</f>
        <v/>
      </c>
      <c r="K603" t="str">
        <f>IF(tb_zakazchik[[#This Row],[Столбец1]]&lt;&gt;"",tb_baza[[#This Row],[Гос. номер]],"")</f>
        <v/>
      </c>
    </row>
    <row r="604" spans="1:11" x14ac:dyDescent="0.25">
      <c r="A604" s="17" t="s">
        <v>433</v>
      </c>
      <c r="B604" s="10" t="s">
        <v>432</v>
      </c>
      <c r="C604" s="13" t="s">
        <v>153</v>
      </c>
      <c r="D604" s="7" t="s">
        <v>1294</v>
      </c>
      <c r="E604" s="2" t="s">
        <v>1306</v>
      </c>
      <c r="F604" s="2" t="s">
        <v>3</v>
      </c>
      <c r="G604" s="31"/>
      <c r="I6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4" t="str">
        <f>IF(tb_zakazchik[[#This Row],[Столбец1]]&lt;&gt;"",SUM($I$2:I604),"")</f>
        <v/>
      </c>
      <c r="K604" t="str">
        <f>IF(tb_zakazchik[[#This Row],[Столбец1]]&lt;&gt;"",tb_baza[[#This Row],[Гос. номер]],"")</f>
        <v/>
      </c>
    </row>
    <row r="605" spans="1:11" x14ac:dyDescent="0.25">
      <c r="A605" s="17" t="s">
        <v>683</v>
      </c>
      <c r="B605" s="10" t="s">
        <v>9</v>
      </c>
      <c r="C605" s="13" t="s">
        <v>153</v>
      </c>
      <c r="D605" s="7" t="s">
        <v>1294</v>
      </c>
      <c r="E605" s="2" t="s">
        <v>2</v>
      </c>
      <c r="F605" s="2" t="s">
        <v>13</v>
      </c>
      <c r="G605" s="31"/>
      <c r="I6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5" t="str">
        <f>IF(tb_zakazchik[[#This Row],[Столбец1]]&lt;&gt;"",SUM($I$2:I605),"")</f>
        <v/>
      </c>
      <c r="K605" t="str">
        <f>IF(tb_zakazchik[[#This Row],[Столбец1]]&lt;&gt;"",tb_baza[[#This Row],[Гос. номер]],"")</f>
        <v/>
      </c>
    </row>
    <row r="606" spans="1:11" x14ac:dyDescent="0.25">
      <c r="A606" s="17" t="s">
        <v>863</v>
      </c>
      <c r="B606" s="10" t="s">
        <v>18</v>
      </c>
      <c r="C606" s="13" t="s">
        <v>153</v>
      </c>
      <c r="D606" s="7" t="s">
        <v>1294</v>
      </c>
      <c r="E606" s="2" t="s">
        <v>12</v>
      </c>
      <c r="F606" s="2" t="s">
        <v>13</v>
      </c>
      <c r="G606" s="31"/>
      <c r="I6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6" t="str">
        <f>IF(tb_zakazchik[[#This Row],[Столбец1]]&lt;&gt;"",SUM($I$2:I606),"")</f>
        <v/>
      </c>
      <c r="K606" t="str">
        <f>IF(tb_zakazchik[[#This Row],[Столбец1]]&lt;&gt;"",tb_baza[[#This Row],[Гос. номер]],"")</f>
        <v/>
      </c>
    </row>
    <row r="607" spans="1:11" x14ac:dyDescent="0.25">
      <c r="A607" s="17" t="s">
        <v>400</v>
      </c>
      <c r="B607" s="10" t="s">
        <v>18</v>
      </c>
      <c r="C607" s="13" t="s">
        <v>153</v>
      </c>
      <c r="D607" s="7" t="s">
        <v>1294</v>
      </c>
      <c r="E607" s="2" t="s">
        <v>12</v>
      </c>
      <c r="F607" s="2" t="s">
        <v>13</v>
      </c>
      <c r="G607" s="31"/>
      <c r="I6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7" t="str">
        <f>IF(tb_zakazchik[[#This Row],[Столбец1]]&lt;&gt;"",SUM($I$2:I607),"")</f>
        <v/>
      </c>
      <c r="K607" t="str">
        <f>IF(tb_zakazchik[[#This Row],[Столбец1]]&lt;&gt;"",tb_baza[[#This Row],[Гос. номер]],"")</f>
        <v/>
      </c>
    </row>
    <row r="608" spans="1:11" x14ac:dyDescent="0.25">
      <c r="A608" s="17" t="s">
        <v>1175</v>
      </c>
      <c r="B608" s="10" t="s">
        <v>286</v>
      </c>
      <c r="C608" s="13" t="s">
        <v>153</v>
      </c>
      <c r="D608" s="7" t="s">
        <v>204</v>
      </c>
      <c r="E608" s="2" t="s">
        <v>1306</v>
      </c>
      <c r="F608" s="2" t="s">
        <v>3</v>
      </c>
      <c r="G608" s="31"/>
      <c r="I6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8" t="str">
        <f>IF(tb_zakazchik[[#This Row],[Столбец1]]&lt;&gt;"",SUM($I$2:I608),"")</f>
        <v/>
      </c>
      <c r="K608" t="str">
        <f>IF(tb_zakazchik[[#This Row],[Столбец1]]&lt;&gt;"",tb_baza[[#This Row],[Гос. номер]],"")</f>
        <v/>
      </c>
    </row>
    <row r="609" spans="1:11" x14ac:dyDescent="0.25">
      <c r="A609" s="17" t="s">
        <v>333</v>
      </c>
      <c r="B609" s="10" t="s">
        <v>332</v>
      </c>
      <c r="C609" s="13" t="s">
        <v>153</v>
      </c>
      <c r="D609" s="7" t="s">
        <v>1287</v>
      </c>
      <c r="E609" s="2" t="s">
        <v>1307</v>
      </c>
      <c r="F609" s="3"/>
      <c r="G609" s="31"/>
      <c r="I6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09" t="str">
        <f>IF(tb_zakazchik[[#This Row],[Столбец1]]&lt;&gt;"",SUM($I$2:I609),"")</f>
        <v/>
      </c>
      <c r="K609" t="str">
        <f>IF(tb_zakazchik[[#This Row],[Столбец1]]&lt;&gt;"",tb_baza[[#This Row],[Гос. номер]],"")</f>
        <v/>
      </c>
    </row>
    <row r="610" spans="1:11" x14ac:dyDescent="0.25">
      <c r="A610" s="17" t="s">
        <v>135</v>
      </c>
      <c r="B610" s="10" t="s">
        <v>134</v>
      </c>
      <c r="C610" s="13" t="s">
        <v>153</v>
      </c>
      <c r="D610" s="7" t="s">
        <v>136</v>
      </c>
      <c r="E610" s="2" t="s">
        <v>1306</v>
      </c>
      <c r="F610" s="2" t="s">
        <v>3</v>
      </c>
      <c r="G610" s="31"/>
      <c r="I6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0" t="str">
        <f>IF(tb_zakazchik[[#This Row],[Столбец1]]&lt;&gt;"",SUM($I$2:I610),"")</f>
        <v/>
      </c>
      <c r="K610" t="str">
        <f>IF(tb_zakazchik[[#This Row],[Столбец1]]&lt;&gt;"",tb_baza[[#This Row],[Гос. номер]],"")</f>
        <v/>
      </c>
    </row>
    <row r="611" spans="1:11" x14ac:dyDescent="0.25">
      <c r="A611" s="17" t="s">
        <v>805</v>
      </c>
      <c r="B611" s="10" t="s">
        <v>804</v>
      </c>
      <c r="C611" s="13" t="s">
        <v>153</v>
      </c>
      <c r="D611" s="7" t="s">
        <v>136</v>
      </c>
      <c r="E611" s="2" t="s">
        <v>1306</v>
      </c>
      <c r="F611" s="2" t="s">
        <v>3</v>
      </c>
      <c r="G611" s="31"/>
      <c r="I6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1" t="str">
        <f>IF(tb_zakazchik[[#This Row],[Столбец1]]&lt;&gt;"",SUM($I$2:I611),"")</f>
        <v/>
      </c>
      <c r="K611" t="str">
        <f>IF(tb_zakazchik[[#This Row],[Столбец1]]&lt;&gt;"",tb_baza[[#This Row],[Гос. номер]],"")</f>
        <v/>
      </c>
    </row>
    <row r="612" spans="1:11" x14ac:dyDescent="0.25">
      <c r="A612" s="17" t="s">
        <v>811</v>
      </c>
      <c r="B612" s="10" t="s">
        <v>810</v>
      </c>
      <c r="C612" s="13" t="s">
        <v>153</v>
      </c>
      <c r="D612" s="7" t="s">
        <v>1290</v>
      </c>
      <c r="E612" s="2" t="s">
        <v>187</v>
      </c>
      <c r="F612" s="2" t="s">
        <v>3</v>
      </c>
      <c r="G612" s="31"/>
      <c r="I6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2" t="str">
        <f>IF(tb_zakazchik[[#This Row],[Столбец1]]&lt;&gt;"",SUM($I$2:I612),"")</f>
        <v/>
      </c>
      <c r="K612" t="str">
        <f>IF(tb_zakazchik[[#This Row],[Столбец1]]&lt;&gt;"",tb_baza[[#This Row],[Гос. номер]],"")</f>
        <v/>
      </c>
    </row>
    <row r="613" spans="1:11" x14ac:dyDescent="0.25">
      <c r="A613" s="17" t="s">
        <v>812</v>
      </c>
      <c r="B613" s="10" t="s">
        <v>810</v>
      </c>
      <c r="C613" s="13" t="s">
        <v>153</v>
      </c>
      <c r="D613" s="7" t="s">
        <v>1290</v>
      </c>
      <c r="E613" s="2" t="s">
        <v>2</v>
      </c>
      <c r="F613" s="2" t="s">
        <v>3</v>
      </c>
      <c r="G613" s="31"/>
      <c r="I6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3" t="str">
        <f>IF(tb_zakazchik[[#This Row],[Столбец1]]&lt;&gt;"",SUM($I$2:I613),"")</f>
        <v/>
      </c>
      <c r="K613" t="str">
        <f>IF(tb_zakazchik[[#This Row],[Столбец1]]&lt;&gt;"",tb_baza[[#This Row],[Гос. номер]],"")</f>
        <v/>
      </c>
    </row>
    <row r="614" spans="1:11" x14ac:dyDescent="0.25">
      <c r="A614" s="17" t="s">
        <v>138</v>
      </c>
      <c r="B614" s="10" t="s">
        <v>137</v>
      </c>
      <c r="C614" s="13" t="s">
        <v>153</v>
      </c>
      <c r="D614" s="7" t="s">
        <v>139</v>
      </c>
      <c r="E614" s="2" t="s">
        <v>140</v>
      </c>
      <c r="F614" s="2" t="s">
        <v>3</v>
      </c>
      <c r="G614" s="31"/>
      <c r="I6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4" t="str">
        <f>IF(tb_zakazchik[[#This Row],[Столбец1]]&lt;&gt;"",SUM($I$2:I614),"")</f>
        <v/>
      </c>
      <c r="K614" t="str">
        <f>IF(tb_zakazchik[[#This Row],[Столбец1]]&lt;&gt;"",tb_baza[[#This Row],[Гос. номер]],"")</f>
        <v/>
      </c>
    </row>
    <row r="615" spans="1:11" x14ac:dyDescent="0.25">
      <c r="A615" s="17" t="s">
        <v>1072</v>
      </c>
      <c r="B615" s="10" t="s">
        <v>1071</v>
      </c>
      <c r="C615" s="13" t="s">
        <v>153</v>
      </c>
      <c r="D615" s="7" t="s">
        <v>139</v>
      </c>
      <c r="E615" s="2" t="s">
        <v>140</v>
      </c>
      <c r="F615" s="2" t="s">
        <v>3</v>
      </c>
      <c r="G615" s="31"/>
      <c r="I6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5" t="str">
        <f>IF(tb_zakazchik[[#This Row],[Столбец1]]&lt;&gt;"",SUM($I$2:I615),"")</f>
        <v/>
      </c>
      <c r="K615" t="str">
        <f>IF(tb_zakazchik[[#This Row],[Столбец1]]&lt;&gt;"",tb_baza[[#This Row],[Гос. номер]],"")</f>
        <v/>
      </c>
    </row>
    <row r="616" spans="1:11" x14ac:dyDescent="0.25">
      <c r="A616" s="17" t="s">
        <v>1226</v>
      </c>
      <c r="B616" s="10" t="s">
        <v>1222</v>
      </c>
      <c r="C616" s="13" t="s">
        <v>153</v>
      </c>
      <c r="D616" s="7" t="s">
        <v>1279</v>
      </c>
      <c r="E616" s="2" t="s">
        <v>140</v>
      </c>
      <c r="F616" s="2" t="s">
        <v>13</v>
      </c>
      <c r="G616" s="31"/>
      <c r="I6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6" t="str">
        <f>IF(tb_zakazchik[[#This Row],[Столбец1]]&lt;&gt;"",SUM($I$2:I616),"")</f>
        <v/>
      </c>
      <c r="K616" t="str">
        <f>IF(tb_zakazchik[[#This Row],[Столбец1]]&lt;&gt;"",tb_baza[[#This Row],[Гос. номер]],"")</f>
        <v/>
      </c>
    </row>
    <row r="617" spans="1:11" x14ac:dyDescent="0.25">
      <c r="A617" s="17" t="s">
        <v>181</v>
      </c>
      <c r="B617" s="10" t="s">
        <v>180</v>
      </c>
      <c r="C617" s="13" t="s">
        <v>153</v>
      </c>
      <c r="D617" s="7" t="s">
        <v>1279</v>
      </c>
      <c r="E617" s="2" t="s">
        <v>1306</v>
      </c>
      <c r="F617" s="2" t="s">
        <v>3</v>
      </c>
      <c r="G617" s="31"/>
      <c r="I6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7" t="str">
        <f>IF(tb_zakazchik[[#This Row],[Столбец1]]&lt;&gt;"",SUM($I$2:I617),"")</f>
        <v/>
      </c>
      <c r="K617" t="str">
        <f>IF(tb_zakazchik[[#This Row],[Столбец1]]&lt;&gt;"",tb_baza[[#This Row],[Гос. номер]],"")</f>
        <v/>
      </c>
    </row>
    <row r="618" spans="1:11" x14ac:dyDescent="0.25">
      <c r="A618" s="17" t="s">
        <v>1211</v>
      </c>
      <c r="B618" s="10" t="s">
        <v>1210</v>
      </c>
      <c r="C618" s="13" t="s">
        <v>153</v>
      </c>
      <c r="D618" s="7" t="s">
        <v>1279</v>
      </c>
      <c r="E618" s="2" t="s">
        <v>1306</v>
      </c>
      <c r="F618" s="2" t="s">
        <v>13</v>
      </c>
      <c r="G618" s="31"/>
      <c r="I6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8" t="str">
        <f>IF(tb_zakazchik[[#This Row],[Столбец1]]&lt;&gt;"",SUM($I$2:I618),"")</f>
        <v/>
      </c>
      <c r="K618" t="str">
        <f>IF(tb_zakazchik[[#This Row],[Столбец1]]&lt;&gt;"",tb_baza[[#This Row],[Гос. номер]],"")</f>
        <v/>
      </c>
    </row>
    <row r="619" spans="1:11" x14ac:dyDescent="0.25">
      <c r="A619" s="17" t="s">
        <v>90</v>
      </c>
      <c r="B619" s="10" t="s">
        <v>89</v>
      </c>
      <c r="C619" s="13" t="s">
        <v>153</v>
      </c>
      <c r="D619" s="7" t="s">
        <v>1279</v>
      </c>
      <c r="E619" s="2" t="s">
        <v>1306</v>
      </c>
      <c r="F619" s="2" t="s">
        <v>3</v>
      </c>
      <c r="G619" s="31"/>
      <c r="I6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19" t="str">
        <f>IF(tb_zakazchik[[#This Row],[Столбец1]]&lt;&gt;"",SUM($I$2:I619),"")</f>
        <v/>
      </c>
      <c r="K619" t="str">
        <f>IF(tb_zakazchik[[#This Row],[Столбец1]]&lt;&gt;"",tb_baza[[#This Row],[Гос. номер]],"")</f>
        <v/>
      </c>
    </row>
    <row r="620" spans="1:11" x14ac:dyDescent="0.25">
      <c r="A620" s="17" t="s">
        <v>1101</v>
      </c>
      <c r="B620" s="10" t="s">
        <v>89</v>
      </c>
      <c r="C620" s="13" t="s">
        <v>153</v>
      </c>
      <c r="D620" s="7" t="s">
        <v>1279</v>
      </c>
      <c r="E620" s="2" t="s">
        <v>1306</v>
      </c>
      <c r="F620" s="2" t="s">
        <v>3</v>
      </c>
      <c r="G620" s="31"/>
      <c r="I6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0" t="str">
        <f>IF(tb_zakazchik[[#This Row],[Столбец1]]&lt;&gt;"",SUM($I$2:I620),"")</f>
        <v/>
      </c>
      <c r="K620" t="str">
        <f>IF(tb_zakazchik[[#This Row],[Столбец1]]&lt;&gt;"",tb_baza[[#This Row],[Гос. номер]],"")</f>
        <v/>
      </c>
    </row>
    <row r="621" spans="1:11" x14ac:dyDescent="0.25">
      <c r="A621" s="17" t="s">
        <v>1192</v>
      </c>
      <c r="B621" s="10" t="s">
        <v>109</v>
      </c>
      <c r="C621" s="13" t="s">
        <v>153</v>
      </c>
      <c r="D621" s="7" t="s">
        <v>1279</v>
      </c>
      <c r="E621" s="2" t="s">
        <v>1104</v>
      </c>
      <c r="F621" s="2" t="s">
        <v>3</v>
      </c>
      <c r="G621" s="31"/>
      <c r="I6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1" t="str">
        <f>IF(tb_zakazchik[[#This Row],[Столбец1]]&lt;&gt;"",SUM($I$2:I621),"")</f>
        <v/>
      </c>
      <c r="K621" t="str">
        <f>IF(tb_zakazchik[[#This Row],[Столбец1]]&lt;&gt;"",tb_baza[[#This Row],[Гос. номер]],"")</f>
        <v/>
      </c>
    </row>
    <row r="622" spans="1:11" x14ac:dyDescent="0.25">
      <c r="A622" s="17" t="s">
        <v>110</v>
      </c>
      <c r="B622" s="10" t="s">
        <v>109</v>
      </c>
      <c r="C622" s="13" t="s">
        <v>153</v>
      </c>
      <c r="D622" s="7" t="s">
        <v>1279</v>
      </c>
      <c r="E622" s="2" t="s">
        <v>1307</v>
      </c>
      <c r="F622" s="2" t="s">
        <v>3</v>
      </c>
      <c r="G622" s="31"/>
      <c r="I6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2" t="str">
        <f>IF(tb_zakazchik[[#This Row],[Столбец1]]&lt;&gt;"",SUM($I$2:I622),"")</f>
        <v/>
      </c>
      <c r="K622" t="str">
        <f>IF(tb_zakazchik[[#This Row],[Столбец1]]&lt;&gt;"",tb_baza[[#This Row],[Гос. номер]],"")</f>
        <v/>
      </c>
    </row>
    <row r="623" spans="1:11" x14ac:dyDescent="0.25">
      <c r="A623" s="17" t="s">
        <v>1062</v>
      </c>
      <c r="B623" s="10" t="s">
        <v>184</v>
      </c>
      <c r="C623" s="13" t="s">
        <v>153</v>
      </c>
      <c r="D623" s="7" t="s">
        <v>1279</v>
      </c>
      <c r="E623" s="2" t="s">
        <v>1307</v>
      </c>
      <c r="F623" s="2" t="s">
        <v>6</v>
      </c>
      <c r="G623" s="31"/>
      <c r="I6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3" t="str">
        <f>IF(tb_zakazchik[[#This Row],[Столбец1]]&lt;&gt;"",SUM($I$2:I623),"")</f>
        <v/>
      </c>
      <c r="K623" t="str">
        <f>IF(tb_zakazchik[[#This Row],[Столбец1]]&lt;&gt;"",tb_baza[[#This Row],[Гос. номер]],"")</f>
        <v/>
      </c>
    </row>
    <row r="624" spans="1:11" x14ac:dyDescent="0.25">
      <c r="A624" s="17" t="s">
        <v>1212</v>
      </c>
      <c r="B624" s="10" t="s">
        <v>1210</v>
      </c>
      <c r="C624" s="13" t="s">
        <v>153</v>
      </c>
      <c r="D624" s="7" t="s">
        <v>1279</v>
      </c>
      <c r="E624" s="2" t="s">
        <v>1307</v>
      </c>
      <c r="F624" s="2" t="s">
        <v>13</v>
      </c>
      <c r="G624" s="31"/>
      <c r="I6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4" t="str">
        <f>IF(tb_zakazchik[[#This Row],[Столбец1]]&lt;&gt;"",SUM($I$2:I624),"")</f>
        <v/>
      </c>
      <c r="K624" t="str">
        <f>IF(tb_zakazchik[[#This Row],[Столбец1]]&lt;&gt;"",tb_baza[[#This Row],[Гос. номер]],"")</f>
        <v/>
      </c>
    </row>
    <row r="625" spans="1:11" x14ac:dyDescent="0.25">
      <c r="A625" s="17" t="s">
        <v>1244</v>
      </c>
      <c r="B625" s="10" t="s">
        <v>47</v>
      </c>
      <c r="C625" s="13" t="s">
        <v>153</v>
      </c>
      <c r="D625" s="7" t="s">
        <v>1279</v>
      </c>
      <c r="E625" s="2" t="s">
        <v>1307</v>
      </c>
      <c r="F625" s="2" t="s">
        <v>3</v>
      </c>
      <c r="G625" s="31"/>
      <c r="I6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5" t="str">
        <f>IF(tb_zakazchik[[#This Row],[Столбец1]]&lt;&gt;"",SUM($I$2:I625),"")</f>
        <v/>
      </c>
      <c r="K625" t="str">
        <f>IF(tb_zakazchik[[#This Row],[Столбец1]]&lt;&gt;"",tb_baza[[#This Row],[Гос. номер]],"")</f>
        <v/>
      </c>
    </row>
    <row r="626" spans="1:11" x14ac:dyDescent="0.25">
      <c r="A626" s="17" t="s">
        <v>1224</v>
      </c>
      <c r="B626" s="10" t="s">
        <v>47</v>
      </c>
      <c r="C626" s="13" t="s">
        <v>153</v>
      </c>
      <c r="D626" s="7" t="s">
        <v>1279</v>
      </c>
      <c r="E626" s="2" t="s">
        <v>1307</v>
      </c>
      <c r="F626" s="2" t="s">
        <v>6</v>
      </c>
      <c r="G626" s="31"/>
      <c r="I6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6" t="str">
        <f>IF(tb_zakazchik[[#This Row],[Столбец1]]&lt;&gt;"",SUM($I$2:I626),"")</f>
        <v/>
      </c>
      <c r="K626" t="str">
        <f>IF(tb_zakazchik[[#This Row],[Столбец1]]&lt;&gt;"",tb_baza[[#This Row],[Гос. номер]],"")</f>
        <v/>
      </c>
    </row>
    <row r="627" spans="1:11" x14ac:dyDescent="0.25">
      <c r="A627" s="17" t="s">
        <v>1257</v>
      </c>
      <c r="B627" s="10" t="s">
        <v>47</v>
      </c>
      <c r="C627" s="13" t="s">
        <v>153</v>
      </c>
      <c r="D627" s="7" t="s">
        <v>1279</v>
      </c>
      <c r="E627" s="2" t="s">
        <v>1307</v>
      </c>
      <c r="F627" s="2" t="s">
        <v>3</v>
      </c>
      <c r="G627" s="31"/>
      <c r="I6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7" t="str">
        <f>IF(tb_zakazchik[[#This Row],[Столбец1]]&lt;&gt;"",SUM($I$2:I627),"")</f>
        <v/>
      </c>
      <c r="K627" t="str">
        <f>IF(tb_zakazchik[[#This Row],[Столбец1]]&lt;&gt;"",tb_baza[[#This Row],[Гос. номер]],"")</f>
        <v/>
      </c>
    </row>
    <row r="628" spans="1:11" x14ac:dyDescent="0.25">
      <c r="A628" s="17" t="s">
        <v>1248</v>
      </c>
      <c r="B628" s="10" t="s">
        <v>47</v>
      </c>
      <c r="C628" s="13" t="s">
        <v>153</v>
      </c>
      <c r="D628" s="7" t="s">
        <v>1279</v>
      </c>
      <c r="E628" s="2" t="s">
        <v>1307</v>
      </c>
      <c r="F628" s="2" t="s">
        <v>3</v>
      </c>
      <c r="G628" s="31"/>
      <c r="I6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8" t="str">
        <f>IF(tb_zakazchik[[#This Row],[Столбец1]]&lt;&gt;"",SUM($I$2:I628),"")</f>
        <v/>
      </c>
      <c r="K628" t="str">
        <f>IF(tb_zakazchik[[#This Row],[Столбец1]]&lt;&gt;"",tb_baza[[#This Row],[Гос. номер]],"")</f>
        <v/>
      </c>
    </row>
    <row r="629" spans="1:11" x14ac:dyDescent="0.25">
      <c r="A629" s="17" t="s">
        <v>1249</v>
      </c>
      <c r="B629" s="10" t="s">
        <v>47</v>
      </c>
      <c r="C629" s="13" t="s">
        <v>153</v>
      </c>
      <c r="D629" s="7" t="s">
        <v>1279</v>
      </c>
      <c r="E629" s="2" t="s">
        <v>1307</v>
      </c>
      <c r="F629" s="2" t="s">
        <v>3</v>
      </c>
      <c r="G629" s="31"/>
      <c r="I6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29" t="str">
        <f>IF(tb_zakazchik[[#This Row],[Столбец1]]&lt;&gt;"",SUM($I$2:I629),"")</f>
        <v/>
      </c>
      <c r="K629" t="str">
        <f>IF(tb_zakazchik[[#This Row],[Столбец1]]&lt;&gt;"",tb_baza[[#This Row],[Гос. номер]],"")</f>
        <v/>
      </c>
    </row>
    <row r="630" spans="1:11" x14ac:dyDescent="0.25">
      <c r="A630" s="17" t="s">
        <v>196</v>
      </c>
      <c r="B630" s="10" t="s">
        <v>47</v>
      </c>
      <c r="C630" s="13" t="s">
        <v>153</v>
      </c>
      <c r="D630" s="7" t="s">
        <v>1279</v>
      </c>
      <c r="E630" s="2" t="s">
        <v>1307</v>
      </c>
      <c r="F630" s="2" t="s">
        <v>3</v>
      </c>
      <c r="G630" s="31"/>
      <c r="I6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0" t="str">
        <f>IF(tb_zakazchik[[#This Row],[Столбец1]]&lt;&gt;"",SUM($I$2:I630),"")</f>
        <v/>
      </c>
      <c r="K630" t="str">
        <f>IF(tb_zakazchik[[#This Row],[Столбец1]]&lt;&gt;"",tb_baza[[#This Row],[Гос. номер]],"")</f>
        <v/>
      </c>
    </row>
    <row r="631" spans="1:11" x14ac:dyDescent="0.25">
      <c r="A631" s="17" t="s">
        <v>1225</v>
      </c>
      <c r="B631" s="10" t="s">
        <v>57</v>
      </c>
      <c r="C631" s="13" t="s">
        <v>153</v>
      </c>
      <c r="D631" s="7" t="s">
        <v>1279</v>
      </c>
      <c r="E631" s="2" t="s">
        <v>1307</v>
      </c>
      <c r="F631" s="2" t="s">
        <v>3</v>
      </c>
      <c r="G631" s="31"/>
      <c r="I6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1" t="str">
        <f>IF(tb_zakazchik[[#This Row],[Столбец1]]&lt;&gt;"",SUM($I$2:I631),"")</f>
        <v/>
      </c>
      <c r="K631" t="str">
        <f>IF(tb_zakazchik[[#This Row],[Столбец1]]&lt;&gt;"",tb_baza[[#This Row],[Гос. номер]],"")</f>
        <v/>
      </c>
    </row>
    <row r="632" spans="1:11" x14ac:dyDescent="0.25">
      <c r="A632" s="17" t="s">
        <v>675</v>
      </c>
      <c r="B632" s="10" t="s">
        <v>191</v>
      </c>
      <c r="C632" s="13" t="s">
        <v>153</v>
      </c>
      <c r="D632" s="7" t="s">
        <v>1279</v>
      </c>
      <c r="E632" s="2" t="s">
        <v>223</v>
      </c>
      <c r="F632" s="2" t="s">
        <v>3</v>
      </c>
      <c r="G632" s="31"/>
      <c r="I6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2" t="str">
        <f>IF(tb_zakazchik[[#This Row],[Столбец1]]&lt;&gt;"",SUM($I$2:I632),"")</f>
        <v/>
      </c>
      <c r="K632" t="str">
        <f>IF(tb_zakazchik[[#This Row],[Столбец1]]&lt;&gt;"",tb_baza[[#This Row],[Гос. номер]],"")</f>
        <v/>
      </c>
    </row>
    <row r="633" spans="1:11" x14ac:dyDescent="0.25">
      <c r="A633" s="17" t="s">
        <v>1209</v>
      </c>
      <c r="B633" s="10" t="s">
        <v>28</v>
      </c>
      <c r="C633" s="13" t="s">
        <v>153</v>
      </c>
      <c r="D633" s="7" t="s">
        <v>1279</v>
      </c>
      <c r="E633" s="2" t="s">
        <v>1104</v>
      </c>
      <c r="F633" s="2" t="s">
        <v>3</v>
      </c>
      <c r="G633" s="31"/>
      <c r="I6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3" t="str">
        <f>IF(tb_zakazchik[[#This Row],[Столбец1]]&lt;&gt;"",SUM($I$2:I633),"")</f>
        <v/>
      </c>
      <c r="K633" t="str">
        <f>IF(tb_zakazchik[[#This Row],[Столбец1]]&lt;&gt;"",tb_baza[[#This Row],[Гос. номер]],"")</f>
        <v/>
      </c>
    </row>
    <row r="634" spans="1:11" x14ac:dyDescent="0.25">
      <c r="A634" s="17" t="s">
        <v>1214</v>
      </c>
      <c r="B634" s="10" t="s">
        <v>57</v>
      </c>
      <c r="C634" s="13" t="s">
        <v>153</v>
      </c>
      <c r="D634" s="7" t="s">
        <v>1279</v>
      </c>
      <c r="E634" s="2" t="s">
        <v>187</v>
      </c>
      <c r="F634" s="2" t="s">
        <v>3</v>
      </c>
      <c r="G634" s="31"/>
      <c r="I6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4" t="str">
        <f>IF(tb_zakazchik[[#This Row],[Столбец1]]&lt;&gt;"",SUM($I$2:I634),"")</f>
        <v/>
      </c>
      <c r="K634" t="str">
        <f>IF(tb_zakazchik[[#This Row],[Столбец1]]&lt;&gt;"",tb_baza[[#This Row],[Гос. номер]],"")</f>
        <v/>
      </c>
    </row>
    <row r="635" spans="1:11" x14ac:dyDescent="0.25">
      <c r="A635" s="17" t="s">
        <v>282</v>
      </c>
      <c r="B635" s="10" t="s">
        <v>109</v>
      </c>
      <c r="C635" s="13" t="s">
        <v>153</v>
      </c>
      <c r="D635" s="7" t="s">
        <v>1279</v>
      </c>
      <c r="E635" s="2" t="s">
        <v>1104</v>
      </c>
      <c r="F635" s="2" t="s">
        <v>3</v>
      </c>
      <c r="G635" s="31"/>
      <c r="I6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5" t="str">
        <f>IF(tb_zakazchik[[#This Row],[Столбец1]]&lt;&gt;"",SUM($I$2:I635),"")</f>
        <v/>
      </c>
      <c r="K635" t="str">
        <f>IF(tb_zakazchik[[#This Row],[Столбец1]]&lt;&gt;"",tb_baza[[#This Row],[Гос. номер]],"")</f>
        <v/>
      </c>
    </row>
    <row r="636" spans="1:11" x14ac:dyDescent="0.25">
      <c r="A636" s="17" t="s">
        <v>1202</v>
      </c>
      <c r="B636" s="10" t="s">
        <v>28</v>
      </c>
      <c r="C636" s="13" t="s">
        <v>153</v>
      </c>
      <c r="D636" s="7" t="s">
        <v>1279</v>
      </c>
      <c r="E636" s="2" t="s">
        <v>1104</v>
      </c>
      <c r="F636" s="2" t="s">
        <v>3</v>
      </c>
      <c r="G636" s="31"/>
      <c r="I6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6" t="str">
        <f>IF(tb_zakazchik[[#This Row],[Столбец1]]&lt;&gt;"",SUM($I$2:I636),"")</f>
        <v/>
      </c>
      <c r="K636" t="str">
        <f>IF(tb_zakazchik[[#This Row],[Столбец1]]&lt;&gt;"",tb_baza[[#This Row],[Гос. номер]],"")</f>
        <v/>
      </c>
    </row>
    <row r="637" spans="1:11" x14ac:dyDescent="0.25">
      <c r="A637" s="17" t="s">
        <v>1194</v>
      </c>
      <c r="B637" s="10" t="s">
        <v>109</v>
      </c>
      <c r="C637" s="13" t="s">
        <v>153</v>
      </c>
      <c r="D637" s="7" t="s">
        <v>1279</v>
      </c>
      <c r="E637" s="2" t="s">
        <v>1104</v>
      </c>
      <c r="F637" s="2" t="s">
        <v>3</v>
      </c>
      <c r="G637" s="31"/>
      <c r="I6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7" t="str">
        <f>IF(tb_zakazchik[[#This Row],[Столбец1]]&lt;&gt;"",SUM($I$2:I637),"")</f>
        <v/>
      </c>
      <c r="K637" t="str">
        <f>IF(tb_zakazchik[[#This Row],[Столбец1]]&lt;&gt;"",tb_baza[[#This Row],[Гос. номер]],"")</f>
        <v/>
      </c>
    </row>
    <row r="638" spans="1:11" x14ac:dyDescent="0.25">
      <c r="A638" s="17" t="s">
        <v>186</v>
      </c>
      <c r="B638" s="10" t="s">
        <v>47</v>
      </c>
      <c r="C638" s="13" t="s">
        <v>153</v>
      </c>
      <c r="D638" s="7" t="s">
        <v>1279</v>
      </c>
      <c r="E638" s="2" t="s">
        <v>187</v>
      </c>
      <c r="F638" s="2" t="s">
        <v>3</v>
      </c>
      <c r="G638" s="31"/>
      <c r="I6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8" t="str">
        <f>IF(tb_zakazchik[[#This Row],[Столбец1]]&lt;&gt;"",SUM($I$2:I638),"")</f>
        <v/>
      </c>
      <c r="K638" t="str">
        <f>IF(tb_zakazchik[[#This Row],[Столбец1]]&lt;&gt;"",tb_baza[[#This Row],[Гос. номер]],"")</f>
        <v/>
      </c>
    </row>
    <row r="639" spans="1:11" x14ac:dyDescent="0.25">
      <c r="A639" s="17" t="s">
        <v>1245</v>
      </c>
      <c r="B639" s="10" t="s">
        <v>47</v>
      </c>
      <c r="C639" s="13" t="s">
        <v>153</v>
      </c>
      <c r="D639" s="7" t="s">
        <v>1279</v>
      </c>
      <c r="E639" s="2" t="s">
        <v>187</v>
      </c>
      <c r="F639" s="2" t="s">
        <v>3</v>
      </c>
      <c r="G639" s="31"/>
      <c r="I6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39" t="str">
        <f>IF(tb_zakazchik[[#This Row],[Столбец1]]&lt;&gt;"",SUM($I$2:I639),"")</f>
        <v/>
      </c>
      <c r="K639" t="str">
        <f>IF(tb_zakazchik[[#This Row],[Столбец1]]&lt;&gt;"",tb_baza[[#This Row],[Гос. номер]],"")</f>
        <v/>
      </c>
    </row>
    <row r="640" spans="1:11" x14ac:dyDescent="0.25">
      <c r="A640" s="17" t="s">
        <v>1246</v>
      </c>
      <c r="B640" s="10" t="s">
        <v>47</v>
      </c>
      <c r="C640" s="13" t="s">
        <v>153</v>
      </c>
      <c r="D640" s="7" t="s">
        <v>1279</v>
      </c>
      <c r="E640" s="2" t="s">
        <v>187</v>
      </c>
      <c r="F640" s="2" t="s">
        <v>3</v>
      </c>
      <c r="G640" s="31"/>
      <c r="I6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0" t="str">
        <f>IF(tb_zakazchik[[#This Row],[Столбец1]]&lt;&gt;"",SUM($I$2:I640),"")</f>
        <v/>
      </c>
      <c r="K640" t="str">
        <f>IF(tb_zakazchik[[#This Row],[Столбец1]]&lt;&gt;"",tb_baza[[#This Row],[Гос. номер]],"")</f>
        <v/>
      </c>
    </row>
    <row r="641" spans="1:11" x14ac:dyDescent="0.25">
      <c r="A641" s="17" t="s">
        <v>1247</v>
      </c>
      <c r="B641" s="10" t="s">
        <v>47</v>
      </c>
      <c r="C641" s="13" t="s">
        <v>153</v>
      </c>
      <c r="D641" s="7" t="s">
        <v>1279</v>
      </c>
      <c r="E641" s="2" t="s">
        <v>187</v>
      </c>
      <c r="F641" s="2" t="s">
        <v>3</v>
      </c>
      <c r="G641" s="31"/>
      <c r="I6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1" t="str">
        <f>IF(tb_zakazchik[[#This Row],[Столбец1]]&lt;&gt;"",SUM($I$2:I641),"")</f>
        <v/>
      </c>
      <c r="K641" t="str">
        <f>IF(tb_zakazchik[[#This Row],[Столбец1]]&lt;&gt;"",tb_baza[[#This Row],[Гос. номер]],"")</f>
        <v/>
      </c>
    </row>
    <row r="642" spans="1:11" x14ac:dyDescent="0.25">
      <c r="A642" s="17" t="s">
        <v>1086</v>
      </c>
      <c r="B642" s="10" t="s">
        <v>1085</v>
      </c>
      <c r="C642" s="13" t="s">
        <v>153</v>
      </c>
      <c r="D642" s="7" t="s">
        <v>1279</v>
      </c>
      <c r="E642" s="2" t="s">
        <v>2</v>
      </c>
      <c r="F642" s="2" t="s">
        <v>3</v>
      </c>
      <c r="G642" s="31"/>
      <c r="I6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2" t="str">
        <f>IF(tb_zakazchik[[#This Row],[Столбец1]]&lt;&gt;"",SUM($I$2:I642),"")</f>
        <v/>
      </c>
      <c r="K642" t="str">
        <f>IF(tb_zakazchik[[#This Row],[Столбец1]]&lt;&gt;"",tb_baza[[#This Row],[Гос. номер]],"")</f>
        <v/>
      </c>
    </row>
    <row r="643" spans="1:11" x14ac:dyDescent="0.25">
      <c r="A643" s="17" t="s">
        <v>29</v>
      </c>
      <c r="B643" s="10" t="s">
        <v>28</v>
      </c>
      <c r="C643" s="13" t="s">
        <v>153</v>
      </c>
      <c r="D643" s="7" t="s">
        <v>1279</v>
      </c>
      <c r="E643" s="2" t="s">
        <v>2</v>
      </c>
      <c r="F643" s="2" t="s">
        <v>3</v>
      </c>
      <c r="G643" s="31"/>
      <c r="I6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3" t="str">
        <f>IF(tb_zakazchik[[#This Row],[Столбец1]]&lt;&gt;"",SUM($I$2:I643),"")</f>
        <v/>
      </c>
      <c r="K643" t="str">
        <f>IF(tb_zakazchik[[#This Row],[Столбец1]]&lt;&gt;"",tb_baza[[#This Row],[Гос. номер]],"")</f>
        <v/>
      </c>
    </row>
    <row r="644" spans="1:11" x14ac:dyDescent="0.25">
      <c r="A644" s="17" t="s">
        <v>1195</v>
      </c>
      <c r="B644" s="10" t="s">
        <v>57</v>
      </c>
      <c r="C644" s="13" t="s">
        <v>153</v>
      </c>
      <c r="D644" s="7" t="s">
        <v>1279</v>
      </c>
      <c r="E644" s="2" t="s">
        <v>2</v>
      </c>
      <c r="F644" s="2" t="s">
        <v>3</v>
      </c>
      <c r="G644" s="31"/>
      <c r="I6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4" t="str">
        <f>IF(tb_zakazchik[[#This Row],[Столбец1]]&lt;&gt;"",SUM($I$2:I644),"")</f>
        <v/>
      </c>
      <c r="K644" t="str">
        <f>IF(tb_zakazchik[[#This Row],[Столбец1]]&lt;&gt;"",tb_baza[[#This Row],[Гос. номер]],"")</f>
        <v/>
      </c>
    </row>
    <row r="645" spans="1:11" x14ac:dyDescent="0.25">
      <c r="A645" s="17" t="s">
        <v>1203</v>
      </c>
      <c r="B645" s="10" t="s">
        <v>28</v>
      </c>
      <c r="C645" s="13" t="s">
        <v>153</v>
      </c>
      <c r="D645" s="7" t="s">
        <v>1279</v>
      </c>
      <c r="E645" s="2" t="s">
        <v>1104</v>
      </c>
      <c r="F645" s="2" t="s">
        <v>3</v>
      </c>
      <c r="G645" s="31"/>
      <c r="I6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5" t="str">
        <f>IF(tb_zakazchik[[#This Row],[Столбец1]]&lt;&gt;"",SUM($I$2:I645),"")</f>
        <v/>
      </c>
      <c r="K645" t="str">
        <f>IF(tb_zakazchik[[#This Row],[Столбец1]]&lt;&gt;"",tb_baza[[#This Row],[Гос. номер]],"")</f>
        <v/>
      </c>
    </row>
    <row r="646" spans="1:11" x14ac:dyDescent="0.25">
      <c r="A646" s="17" t="s">
        <v>192</v>
      </c>
      <c r="B646" s="10" t="s">
        <v>191</v>
      </c>
      <c r="C646" s="13" t="s">
        <v>153</v>
      </c>
      <c r="D646" s="7" t="s">
        <v>1279</v>
      </c>
      <c r="E646" s="2" t="s">
        <v>2</v>
      </c>
      <c r="F646" s="2" t="s">
        <v>3</v>
      </c>
      <c r="G646" s="31"/>
      <c r="I6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6" t="str">
        <f>IF(tb_zakazchik[[#This Row],[Столбец1]]&lt;&gt;"",SUM($I$2:I646),"")</f>
        <v/>
      </c>
      <c r="K646" t="str">
        <f>IF(tb_zakazchik[[#This Row],[Столбец1]]&lt;&gt;"",tb_baza[[#This Row],[Гос. номер]],"")</f>
        <v/>
      </c>
    </row>
    <row r="647" spans="1:11" x14ac:dyDescent="0.25">
      <c r="A647" s="17" t="s">
        <v>1089</v>
      </c>
      <c r="B647" s="10" t="s">
        <v>1085</v>
      </c>
      <c r="C647" s="13" t="s">
        <v>153</v>
      </c>
      <c r="D647" s="7" t="s">
        <v>1279</v>
      </c>
      <c r="E647" s="2" t="s">
        <v>2</v>
      </c>
      <c r="F647" s="2" t="s">
        <v>3</v>
      </c>
      <c r="G647" s="31"/>
      <c r="I6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7" t="str">
        <f>IF(tb_zakazchik[[#This Row],[Столбец1]]&lt;&gt;"",SUM($I$2:I647),"")</f>
        <v/>
      </c>
      <c r="K647" t="str">
        <f>IF(tb_zakazchik[[#This Row],[Столбец1]]&lt;&gt;"",tb_baza[[#This Row],[Гос. номер]],"")</f>
        <v/>
      </c>
    </row>
    <row r="648" spans="1:11" x14ac:dyDescent="0.25">
      <c r="A648" s="17" t="s">
        <v>1197</v>
      </c>
      <c r="B648" s="10" t="s">
        <v>109</v>
      </c>
      <c r="C648" s="13" t="s">
        <v>153</v>
      </c>
      <c r="D648" s="7" t="s">
        <v>1279</v>
      </c>
      <c r="E648" s="2" t="s">
        <v>2</v>
      </c>
      <c r="F648" s="2" t="s">
        <v>3</v>
      </c>
      <c r="G648" s="31"/>
      <c r="I6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8" t="str">
        <f>IF(tb_zakazchik[[#This Row],[Столбец1]]&lt;&gt;"",SUM($I$2:I648),"")</f>
        <v/>
      </c>
      <c r="K648" t="str">
        <f>IF(tb_zakazchik[[#This Row],[Столбец1]]&lt;&gt;"",tb_baza[[#This Row],[Гос. номер]],"")</f>
        <v/>
      </c>
    </row>
    <row r="649" spans="1:11" x14ac:dyDescent="0.25">
      <c r="A649" s="17" t="s">
        <v>965</v>
      </c>
      <c r="B649" s="10" t="s">
        <v>964</v>
      </c>
      <c r="C649" s="13" t="s">
        <v>153</v>
      </c>
      <c r="D649" s="7" t="s">
        <v>1279</v>
      </c>
      <c r="E649" s="2" t="s">
        <v>140</v>
      </c>
      <c r="F649" s="2" t="s">
        <v>3</v>
      </c>
      <c r="G649" s="31"/>
      <c r="I6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49" t="str">
        <f>IF(tb_zakazchik[[#This Row],[Столбец1]]&lt;&gt;"",SUM($I$2:I649),"")</f>
        <v/>
      </c>
      <c r="K649" t="str">
        <f>IF(tb_zakazchik[[#This Row],[Столбец1]]&lt;&gt;"",tb_baza[[#This Row],[Гос. номер]],"")</f>
        <v/>
      </c>
    </row>
    <row r="650" spans="1:11" x14ac:dyDescent="0.25">
      <c r="A650" s="17" t="s">
        <v>1241</v>
      </c>
      <c r="B650" s="10" t="s">
        <v>1222</v>
      </c>
      <c r="C650" s="13" t="s">
        <v>153</v>
      </c>
      <c r="D650" s="7" t="s">
        <v>1279</v>
      </c>
      <c r="E650" s="2" t="s">
        <v>2</v>
      </c>
      <c r="F650" s="2" t="s">
        <v>3</v>
      </c>
      <c r="G650" s="31"/>
      <c r="I6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0" t="str">
        <f>IF(tb_zakazchik[[#This Row],[Столбец1]]&lt;&gt;"",SUM($I$2:I650),"")</f>
        <v/>
      </c>
      <c r="K650" t="str">
        <f>IF(tb_zakazchik[[#This Row],[Столбец1]]&lt;&gt;"",tb_baza[[#This Row],[Гос. номер]],"")</f>
        <v/>
      </c>
    </row>
    <row r="651" spans="1:11" x14ac:dyDescent="0.25">
      <c r="A651" s="17" t="s">
        <v>1228</v>
      </c>
      <c r="B651" s="10" t="s">
        <v>47</v>
      </c>
      <c r="C651" s="13" t="s">
        <v>153</v>
      </c>
      <c r="D651" s="7" t="s">
        <v>1279</v>
      </c>
      <c r="E651" s="2" t="s">
        <v>2</v>
      </c>
      <c r="F651" s="2" t="s">
        <v>3</v>
      </c>
      <c r="G651" s="31"/>
      <c r="I6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1" t="str">
        <f>IF(tb_zakazchik[[#This Row],[Столбец1]]&lt;&gt;"",SUM($I$2:I651),"")</f>
        <v/>
      </c>
      <c r="K651" t="str">
        <f>IF(tb_zakazchik[[#This Row],[Столбец1]]&lt;&gt;"",tb_baza[[#This Row],[Гос. номер]],"")</f>
        <v/>
      </c>
    </row>
    <row r="652" spans="1:11" x14ac:dyDescent="0.25">
      <c r="A652" s="17" t="s">
        <v>1243</v>
      </c>
      <c r="B652" s="10" t="s">
        <v>47</v>
      </c>
      <c r="C652" s="13" t="s">
        <v>153</v>
      </c>
      <c r="D652" s="7" t="s">
        <v>1279</v>
      </c>
      <c r="E652" s="2" t="s">
        <v>2</v>
      </c>
      <c r="F652" s="2" t="s">
        <v>6</v>
      </c>
      <c r="G652" s="31"/>
      <c r="I6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2" t="str">
        <f>IF(tb_zakazchik[[#This Row],[Столбец1]]&lt;&gt;"",SUM($I$2:I652),"")</f>
        <v/>
      </c>
      <c r="K652" t="str">
        <f>IF(tb_zakazchik[[#This Row],[Столбец1]]&lt;&gt;"",tb_baza[[#This Row],[Гос. номер]],"")</f>
        <v/>
      </c>
    </row>
    <row r="653" spans="1:11" x14ac:dyDescent="0.25">
      <c r="A653" s="17" t="s">
        <v>76</v>
      </c>
      <c r="B653" s="10" t="s">
        <v>47</v>
      </c>
      <c r="C653" s="13" t="s">
        <v>153</v>
      </c>
      <c r="D653" s="7" t="s">
        <v>1279</v>
      </c>
      <c r="E653" s="2" t="s">
        <v>2</v>
      </c>
      <c r="F653" s="2" t="s">
        <v>3</v>
      </c>
      <c r="G653" s="31"/>
      <c r="I6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3" t="str">
        <f>IF(tb_zakazchik[[#This Row],[Столбец1]]&lt;&gt;"",SUM($I$2:I653),"")</f>
        <v/>
      </c>
      <c r="K653" t="str">
        <f>IF(tb_zakazchik[[#This Row],[Столбец1]]&lt;&gt;"",tb_baza[[#This Row],[Гос. номер]],"")</f>
        <v/>
      </c>
    </row>
    <row r="654" spans="1:11" x14ac:dyDescent="0.25">
      <c r="A654" s="17" t="s">
        <v>1254</v>
      </c>
      <c r="B654" s="10" t="s">
        <v>47</v>
      </c>
      <c r="C654" s="13" t="s">
        <v>153</v>
      </c>
      <c r="D654" s="7" t="s">
        <v>1279</v>
      </c>
      <c r="E654" s="2" t="s">
        <v>2</v>
      </c>
      <c r="F654" s="2" t="s">
        <v>3</v>
      </c>
      <c r="G654" s="31"/>
      <c r="I6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4" t="str">
        <f>IF(tb_zakazchik[[#This Row],[Столбец1]]&lt;&gt;"",SUM($I$2:I654),"")</f>
        <v/>
      </c>
      <c r="K654" t="str">
        <f>IF(tb_zakazchik[[#This Row],[Столбец1]]&lt;&gt;"",tb_baza[[#This Row],[Гос. номер]],"")</f>
        <v/>
      </c>
    </row>
    <row r="655" spans="1:11" x14ac:dyDescent="0.25">
      <c r="A655" s="17" t="s">
        <v>1204</v>
      </c>
      <c r="B655" s="10" t="s">
        <v>28</v>
      </c>
      <c r="C655" s="13" t="s">
        <v>153</v>
      </c>
      <c r="D655" s="7" t="s">
        <v>1279</v>
      </c>
      <c r="E655" s="2" t="s">
        <v>1205</v>
      </c>
      <c r="F655" s="2" t="s">
        <v>3</v>
      </c>
      <c r="G655" s="31"/>
      <c r="I6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5" t="str">
        <f>IF(tb_zakazchik[[#This Row],[Столбец1]]&lt;&gt;"",SUM($I$2:I655),"")</f>
        <v/>
      </c>
      <c r="K655" t="str">
        <f>IF(tb_zakazchik[[#This Row],[Столбец1]]&lt;&gt;"",tb_baza[[#This Row],[Гос. номер]],"")</f>
        <v/>
      </c>
    </row>
    <row r="656" spans="1:11" x14ac:dyDescent="0.25">
      <c r="A656" s="17" t="s">
        <v>1199</v>
      </c>
      <c r="B656" s="10" t="s">
        <v>1198</v>
      </c>
      <c r="C656" s="13" t="s">
        <v>153</v>
      </c>
      <c r="D656" s="7" t="s">
        <v>1279</v>
      </c>
      <c r="E656" s="2" t="s">
        <v>140</v>
      </c>
      <c r="F656" s="2" t="s">
        <v>13</v>
      </c>
      <c r="G656" s="31"/>
      <c r="I6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6" t="str">
        <f>IF(tb_zakazchik[[#This Row],[Столбец1]]&lt;&gt;"",SUM($I$2:I656),"")</f>
        <v/>
      </c>
      <c r="K656" t="str">
        <f>IF(tb_zakazchik[[#This Row],[Столбец1]]&lt;&gt;"",tb_baza[[#This Row],[Гос. номер]],"")</f>
        <v/>
      </c>
    </row>
    <row r="657" spans="1:11" x14ac:dyDescent="0.25">
      <c r="A657" s="17" t="s">
        <v>1088</v>
      </c>
      <c r="B657" s="10" t="s">
        <v>180</v>
      </c>
      <c r="C657" s="13" t="s">
        <v>153</v>
      </c>
      <c r="D657" s="7" t="s">
        <v>1279</v>
      </c>
      <c r="E657" s="2" t="s">
        <v>140</v>
      </c>
      <c r="F657" s="2" t="s">
        <v>3</v>
      </c>
      <c r="G657" s="31"/>
      <c r="I6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7" t="str">
        <f>IF(tb_zakazchik[[#This Row],[Столбец1]]&lt;&gt;"",SUM($I$2:I657),"")</f>
        <v/>
      </c>
      <c r="K657" t="str">
        <f>IF(tb_zakazchik[[#This Row],[Столбец1]]&lt;&gt;"",tb_baza[[#This Row],[Гос. номер]],"")</f>
        <v/>
      </c>
    </row>
    <row r="658" spans="1:11" x14ac:dyDescent="0.25">
      <c r="A658" s="17" t="s">
        <v>1193</v>
      </c>
      <c r="B658" s="10" t="s">
        <v>109</v>
      </c>
      <c r="C658" s="13" t="s">
        <v>153</v>
      </c>
      <c r="D658" s="7" t="s">
        <v>1279</v>
      </c>
      <c r="E658" s="2" t="s">
        <v>1310</v>
      </c>
      <c r="F658" s="2" t="s">
        <v>3</v>
      </c>
      <c r="G658" s="31"/>
      <c r="I6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8" t="str">
        <f>IF(tb_zakazchik[[#This Row],[Столбец1]]&lt;&gt;"",SUM($I$2:I658),"")</f>
        <v/>
      </c>
      <c r="K658" t="str">
        <f>IF(tb_zakazchik[[#This Row],[Столбец1]]&lt;&gt;"",tb_baza[[#This Row],[Гос. номер]],"")</f>
        <v/>
      </c>
    </row>
    <row r="659" spans="1:11" x14ac:dyDescent="0.25">
      <c r="A659" s="17" t="s">
        <v>444</v>
      </c>
      <c r="B659" s="10" t="s">
        <v>443</v>
      </c>
      <c r="C659" s="13" t="s">
        <v>153</v>
      </c>
      <c r="D659" s="7" t="s">
        <v>1279</v>
      </c>
      <c r="E659" s="2" t="s">
        <v>140</v>
      </c>
      <c r="F659" s="2" t="s">
        <v>13</v>
      </c>
      <c r="G659" s="31"/>
      <c r="I6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59" t="str">
        <f>IF(tb_zakazchik[[#This Row],[Столбец1]]&lt;&gt;"",SUM($I$2:I659),"")</f>
        <v/>
      </c>
      <c r="K659" t="str">
        <f>IF(tb_zakazchik[[#This Row],[Столбец1]]&lt;&gt;"",tb_baza[[#This Row],[Гос. номер]],"")</f>
        <v/>
      </c>
    </row>
    <row r="660" spans="1:11" x14ac:dyDescent="0.25">
      <c r="A660" s="17" t="s">
        <v>1064</v>
      </c>
      <c r="B660" s="10" t="s">
        <v>180</v>
      </c>
      <c r="C660" s="13" t="s">
        <v>153</v>
      </c>
      <c r="D660" s="7" t="s">
        <v>1279</v>
      </c>
      <c r="E660" s="2" t="s">
        <v>140</v>
      </c>
      <c r="F660" s="2" t="s">
        <v>3</v>
      </c>
      <c r="G660" s="31"/>
      <c r="I6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0" t="str">
        <f>IF(tb_zakazchik[[#This Row],[Столбец1]]&lt;&gt;"",SUM($I$2:I660),"")</f>
        <v/>
      </c>
      <c r="K660" t="str">
        <f>IF(tb_zakazchik[[#This Row],[Столбец1]]&lt;&gt;"",tb_baza[[#This Row],[Гос. номер]],"")</f>
        <v/>
      </c>
    </row>
    <row r="661" spans="1:11" x14ac:dyDescent="0.25">
      <c r="A661" s="17" t="s">
        <v>226</v>
      </c>
      <c r="B661" s="10" t="s">
        <v>109</v>
      </c>
      <c r="C661" s="13" t="s">
        <v>153</v>
      </c>
      <c r="D661" s="7" t="s">
        <v>1279</v>
      </c>
      <c r="E661" s="2" t="s">
        <v>140</v>
      </c>
      <c r="F661" s="2" t="s">
        <v>3</v>
      </c>
      <c r="G661" s="31"/>
      <c r="I6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1" t="str">
        <f>IF(tb_zakazchik[[#This Row],[Столбец1]]&lt;&gt;"",SUM($I$2:I661),"")</f>
        <v/>
      </c>
      <c r="K661" t="str">
        <f>IF(tb_zakazchik[[#This Row],[Столбец1]]&lt;&gt;"",tb_baza[[#This Row],[Гос. номер]],"")</f>
        <v/>
      </c>
    </row>
    <row r="662" spans="1:11" x14ac:dyDescent="0.25">
      <c r="A662" s="17" t="s">
        <v>1215</v>
      </c>
      <c r="B662" s="10" t="s">
        <v>1207</v>
      </c>
      <c r="C662" s="13" t="s">
        <v>153</v>
      </c>
      <c r="D662" s="7" t="s">
        <v>1279</v>
      </c>
      <c r="E662" s="2" t="s">
        <v>140</v>
      </c>
      <c r="F662" s="2" t="s">
        <v>13</v>
      </c>
      <c r="G662" s="31"/>
      <c r="I6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2" t="str">
        <f>IF(tb_zakazchik[[#This Row],[Столбец1]]&lt;&gt;"",SUM($I$2:I662),"")</f>
        <v/>
      </c>
      <c r="K662" t="str">
        <f>IF(tb_zakazchik[[#This Row],[Столбец1]]&lt;&gt;"",tb_baza[[#This Row],[Гос. номер]],"")</f>
        <v/>
      </c>
    </row>
    <row r="663" spans="1:11" x14ac:dyDescent="0.25">
      <c r="A663" s="17" t="s">
        <v>1213</v>
      </c>
      <c r="B663" s="10" t="s">
        <v>1210</v>
      </c>
      <c r="C663" s="13" t="s">
        <v>153</v>
      </c>
      <c r="D663" s="7" t="s">
        <v>1279</v>
      </c>
      <c r="E663" s="2" t="s">
        <v>140</v>
      </c>
      <c r="F663" s="2" t="s">
        <v>13</v>
      </c>
      <c r="G663" s="31"/>
      <c r="I6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3" t="str">
        <f>IF(tb_zakazchik[[#This Row],[Столбец1]]&lt;&gt;"",SUM($I$2:I663),"")</f>
        <v/>
      </c>
      <c r="K663" t="str">
        <f>IF(tb_zakazchik[[#This Row],[Столбец1]]&lt;&gt;"",tb_baza[[#This Row],[Гос. номер]],"")</f>
        <v/>
      </c>
    </row>
    <row r="664" spans="1:11" x14ac:dyDescent="0.25">
      <c r="A664" s="17" t="s">
        <v>185</v>
      </c>
      <c r="B664" s="10" t="s">
        <v>184</v>
      </c>
      <c r="C664" s="13" t="s">
        <v>153</v>
      </c>
      <c r="D664" s="7" t="s">
        <v>1279</v>
      </c>
      <c r="E664" s="2" t="s">
        <v>2</v>
      </c>
      <c r="F664" s="2" t="s">
        <v>3</v>
      </c>
      <c r="G664" s="31"/>
      <c r="I6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4" t="str">
        <f>IF(tb_zakazchik[[#This Row],[Столбец1]]&lt;&gt;"",SUM($I$2:I664),"")</f>
        <v/>
      </c>
      <c r="K664" t="str">
        <f>IF(tb_zakazchik[[#This Row],[Столбец1]]&lt;&gt;"",tb_baza[[#This Row],[Гос. номер]],"")</f>
        <v/>
      </c>
    </row>
    <row r="665" spans="1:11" x14ac:dyDescent="0.25">
      <c r="A665" s="17" t="s">
        <v>1208</v>
      </c>
      <c r="B665" s="10" t="s">
        <v>1207</v>
      </c>
      <c r="C665" s="13" t="s">
        <v>153</v>
      </c>
      <c r="D665" s="7" t="s">
        <v>1279</v>
      </c>
      <c r="E665" s="2" t="s">
        <v>140</v>
      </c>
      <c r="F665" s="2" t="s">
        <v>3</v>
      </c>
      <c r="G665" s="31"/>
      <c r="I6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5" t="str">
        <f>IF(tb_zakazchik[[#This Row],[Столбец1]]&lt;&gt;"",SUM($I$2:I665),"")</f>
        <v/>
      </c>
      <c r="K665" t="str">
        <f>IF(tb_zakazchik[[#This Row],[Столбец1]]&lt;&gt;"",tb_baza[[#This Row],[Гос. номер]],"")</f>
        <v/>
      </c>
    </row>
    <row r="666" spans="1:11" x14ac:dyDescent="0.25">
      <c r="A666" s="17" t="s">
        <v>1216</v>
      </c>
      <c r="B666" s="10" t="s">
        <v>1207</v>
      </c>
      <c r="C666" s="13" t="s">
        <v>153</v>
      </c>
      <c r="D666" s="7" t="s">
        <v>1279</v>
      </c>
      <c r="E666" s="2" t="s">
        <v>140</v>
      </c>
      <c r="F666" s="2" t="s">
        <v>3</v>
      </c>
      <c r="G666" s="31"/>
      <c r="I6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6" t="str">
        <f>IF(tb_zakazchik[[#This Row],[Столбец1]]&lt;&gt;"",SUM($I$2:I666),"")</f>
        <v/>
      </c>
      <c r="K666" t="str">
        <f>IF(tb_zakazchik[[#This Row],[Столбец1]]&lt;&gt;"",tb_baza[[#This Row],[Гос. номер]],"")</f>
        <v/>
      </c>
    </row>
    <row r="667" spans="1:11" x14ac:dyDescent="0.25">
      <c r="A667" s="17" t="s">
        <v>1221</v>
      </c>
      <c r="B667" s="10" t="s">
        <v>1210</v>
      </c>
      <c r="C667" s="13" t="s">
        <v>153</v>
      </c>
      <c r="D667" s="7" t="s">
        <v>1279</v>
      </c>
      <c r="E667" s="2" t="s">
        <v>140</v>
      </c>
      <c r="F667" s="2" t="s">
        <v>3</v>
      </c>
      <c r="G667" s="31"/>
      <c r="I6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7" t="str">
        <f>IF(tb_zakazchik[[#This Row],[Столбец1]]&lt;&gt;"",SUM($I$2:I667),"")</f>
        <v/>
      </c>
      <c r="K667" t="str">
        <f>IF(tb_zakazchik[[#This Row],[Столбец1]]&lt;&gt;"",tb_baza[[#This Row],[Гос. номер]],"")</f>
        <v/>
      </c>
    </row>
    <row r="668" spans="1:11" x14ac:dyDescent="0.25">
      <c r="A668" s="17" t="s">
        <v>1218</v>
      </c>
      <c r="B668" s="10" t="s">
        <v>1217</v>
      </c>
      <c r="C668" s="13" t="s">
        <v>153</v>
      </c>
      <c r="D668" s="7" t="s">
        <v>1279</v>
      </c>
      <c r="E668" s="2" t="s">
        <v>140</v>
      </c>
      <c r="F668" s="2" t="s">
        <v>3</v>
      </c>
      <c r="G668" s="31"/>
      <c r="I6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8" t="str">
        <f>IF(tb_zakazchik[[#This Row],[Столбец1]]&lt;&gt;"",SUM($I$2:I668),"")</f>
        <v/>
      </c>
      <c r="K668" t="str">
        <f>IF(tb_zakazchik[[#This Row],[Столбец1]]&lt;&gt;"",tb_baza[[#This Row],[Гос. номер]],"")</f>
        <v/>
      </c>
    </row>
    <row r="669" spans="1:11" x14ac:dyDescent="0.25">
      <c r="A669" s="17" t="s">
        <v>1227</v>
      </c>
      <c r="B669" s="10" t="s">
        <v>57</v>
      </c>
      <c r="C669" s="13" t="s">
        <v>153</v>
      </c>
      <c r="D669" s="7" t="s">
        <v>1279</v>
      </c>
      <c r="E669" s="2" t="s">
        <v>140</v>
      </c>
      <c r="F669" s="2" t="s">
        <v>3</v>
      </c>
      <c r="G669" s="31"/>
      <c r="I6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69" t="str">
        <f>IF(tb_zakazchik[[#This Row],[Столбец1]]&lt;&gt;"",SUM($I$2:I669),"")</f>
        <v/>
      </c>
      <c r="K669" t="str">
        <f>IF(tb_zakazchik[[#This Row],[Столбец1]]&lt;&gt;"",tb_baza[[#This Row],[Гос. номер]],"")</f>
        <v/>
      </c>
    </row>
    <row r="670" spans="1:11" x14ac:dyDescent="0.25">
      <c r="A670" s="17" t="s">
        <v>1223</v>
      </c>
      <c r="B670" s="10" t="s">
        <v>1222</v>
      </c>
      <c r="C670" s="13" t="s">
        <v>153</v>
      </c>
      <c r="D670" s="7" t="s">
        <v>1279</v>
      </c>
      <c r="E670" s="2" t="s">
        <v>140</v>
      </c>
      <c r="F670" s="2" t="s">
        <v>13</v>
      </c>
      <c r="G670" s="31"/>
      <c r="I6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0" t="str">
        <f>IF(tb_zakazchik[[#This Row],[Столбец1]]&lt;&gt;"",SUM($I$2:I670),"")</f>
        <v/>
      </c>
      <c r="K670" t="str">
        <f>IF(tb_zakazchik[[#This Row],[Столбец1]]&lt;&gt;"",tb_baza[[#This Row],[Гос. номер]],"")</f>
        <v/>
      </c>
    </row>
    <row r="671" spans="1:11" x14ac:dyDescent="0.25">
      <c r="A671" s="17" t="s">
        <v>1220</v>
      </c>
      <c r="B671" s="10" t="s">
        <v>1219</v>
      </c>
      <c r="C671" s="13" t="s">
        <v>153</v>
      </c>
      <c r="D671" s="7" t="s">
        <v>1279</v>
      </c>
      <c r="E671" s="2" t="s">
        <v>140</v>
      </c>
      <c r="F671" s="2" t="s">
        <v>3</v>
      </c>
      <c r="G671" s="31"/>
      <c r="I6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1" t="str">
        <f>IF(tb_zakazchik[[#This Row],[Столбец1]]&lt;&gt;"",SUM($I$2:I671),"")</f>
        <v/>
      </c>
      <c r="K671" t="str">
        <f>IF(tb_zakazchik[[#This Row],[Столбец1]]&lt;&gt;"",tb_baza[[#This Row],[Гос. номер]],"")</f>
        <v/>
      </c>
    </row>
    <row r="672" spans="1:11" x14ac:dyDescent="0.25">
      <c r="A672" s="17" t="s">
        <v>1229</v>
      </c>
      <c r="B672" s="10" t="s">
        <v>1219</v>
      </c>
      <c r="C672" s="13" t="s">
        <v>153</v>
      </c>
      <c r="D672" s="7" t="s">
        <v>1279</v>
      </c>
      <c r="E672" s="2" t="s">
        <v>140</v>
      </c>
      <c r="F672" s="2" t="s">
        <v>13</v>
      </c>
      <c r="G672" s="31"/>
      <c r="I6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2" t="str">
        <f>IF(tb_zakazchik[[#This Row],[Столбец1]]&lt;&gt;"",SUM($I$2:I672),"")</f>
        <v/>
      </c>
      <c r="K672" t="str">
        <f>IF(tb_zakazchik[[#This Row],[Столбец1]]&lt;&gt;"",tb_baza[[#This Row],[Гос. номер]],"")</f>
        <v/>
      </c>
    </row>
    <row r="673" spans="1:11" x14ac:dyDescent="0.25">
      <c r="A673" s="17" t="s">
        <v>1240</v>
      </c>
      <c r="B673" s="10" t="s">
        <v>1222</v>
      </c>
      <c r="C673" s="13" t="s">
        <v>153</v>
      </c>
      <c r="D673" s="7" t="s">
        <v>1279</v>
      </c>
      <c r="E673" s="2" t="s">
        <v>140</v>
      </c>
      <c r="F673" s="2" t="s">
        <v>13</v>
      </c>
      <c r="G673" s="31"/>
      <c r="I6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3" t="str">
        <f>IF(tb_zakazchik[[#This Row],[Столбец1]]&lt;&gt;"",SUM($I$2:I673),"")</f>
        <v/>
      </c>
      <c r="K673" t="str">
        <f>IF(tb_zakazchik[[#This Row],[Столбец1]]&lt;&gt;"",tb_baza[[#This Row],[Гос. номер]],"")</f>
        <v/>
      </c>
    </row>
    <row r="674" spans="1:11" x14ac:dyDescent="0.25">
      <c r="A674" s="17" t="s">
        <v>1239</v>
      </c>
      <c r="B674" s="10" t="s">
        <v>1222</v>
      </c>
      <c r="C674" s="13" t="s">
        <v>153</v>
      </c>
      <c r="D674" s="7" t="s">
        <v>1279</v>
      </c>
      <c r="E674" s="2" t="s">
        <v>140</v>
      </c>
      <c r="F674" s="2" t="s">
        <v>3</v>
      </c>
      <c r="G674" s="31"/>
      <c r="I6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4" t="str">
        <f>IF(tb_zakazchik[[#This Row],[Столбец1]]&lt;&gt;"",SUM($I$2:I674),"")</f>
        <v/>
      </c>
      <c r="K674" t="str">
        <f>IF(tb_zakazchik[[#This Row],[Столбец1]]&lt;&gt;"",tb_baza[[#This Row],[Гос. номер]],"")</f>
        <v/>
      </c>
    </row>
    <row r="675" spans="1:11" x14ac:dyDescent="0.25">
      <c r="A675" s="17" t="s">
        <v>1238</v>
      </c>
      <c r="B675" s="10" t="s">
        <v>1222</v>
      </c>
      <c r="C675" s="13" t="s">
        <v>153</v>
      </c>
      <c r="D675" s="7" t="s">
        <v>1279</v>
      </c>
      <c r="E675" s="2" t="s">
        <v>140</v>
      </c>
      <c r="F675" s="2" t="s">
        <v>3</v>
      </c>
      <c r="G675" s="31"/>
      <c r="I6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5" t="str">
        <f>IF(tb_zakazchik[[#This Row],[Столбец1]]&lt;&gt;"",SUM($I$2:I675),"")</f>
        <v/>
      </c>
      <c r="K675" t="str">
        <f>IF(tb_zakazchik[[#This Row],[Столбец1]]&lt;&gt;"",tb_baza[[#This Row],[Гос. номер]],"")</f>
        <v/>
      </c>
    </row>
    <row r="676" spans="1:11" x14ac:dyDescent="0.25">
      <c r="A676" s="17" t="s">
        <v>1230</v>
      </c>
      <c r="B676" s="10" t="s">
        <v>1222</v>
      </c>
      <c r="C676" s="13" t="s">
        <v>153</v>
      </c>
      <c r="D676" s="7" t="s">
        <v>1279</v>
      </c>
      <c r="E676" s="2" t="s">
        <v>140</v>
      </c>
      <c r="F676" s="2" t="s">
        <v>13</v>
      </c>
      <c r="G676" s="31"/>
      <c r="I6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6" t="str">
        <f>IF(tb_zakazchik[[#This Row],[Столбец1]]&lt;&gt;"",SUM($I$2:I676),"")</f>
        <v/>
      </c>
      <c r="K676" t="str">
        <f>IF(tb_zakazchik[[#This Row],[Столбец1]]&lt;&gt;"",tb_baza[[#This Row],[Гос. номер]],"")</f>
        <v/>
      </c>
    </row>
    <row r="677" spans="1:11" x14ac:dyDescent="0.25">
      <c r="A677" s="17" t="s">
        <v>1256</v>
      </c>
      <c r="B677" s="10" t="s">
        <v>1255</v>
      </c>
      <c r="C677" s="13" t="s">
        <v>153</v>
      </c>
      <c r="D677" s="7" t="s">
        <v>1279</v>
      </c>
      <c r="E677" s="2" t="s">
        <v>140</v>
      </c>
      <c r="F677" s="2" t="s">
        <v>3</v>
      </c>
      <c r="G677" s="31"/>
      <c r="I6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7" t="str">
        <f>IF(tb_zakazchik[[#This Row],[Столбец1]]&lt;&gt;"",SUM($I$2:I677),"")</f>
        <v/>
      </c>
      <c r="K677" t="str">
        <f>IF(tb_zakazchik[[#This Row],[Столбец1]]&lt;&gt;"",tb_baza[[#This Row],[Гос. номер]],"")</f>
        <v/>
      </c>
    </row>
    <row r="678" spans="1:11" x14ac:dyDescent="0.25">
      <c r="A678" s="17" t="s">
        <v>1206</v>
      </c>
      <c r="B678" s="10" t="s">
        <v>109</v>
      </c>
      <c r="C678" s="13" t="s">
        <v>153</v>
      </c>
      <c r="D678" s="7" t="s">
        <v>1279</v>
      </c>
      <c r="E678" s="3"/>
      <c r="F678" s="2" t="s">
        <v>3</v>
      </c>
      <c r="G678" s="31"/>
      <c r="I6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8" t="str">
        <f>IF(tb_zakazchik[[#This Row],[Столбец1]]&lt;&gt;"",SUM($I$2:I678),"")</f>
        <v/>
      </c>
      <c r="K678" t="str">
        <f>IF(tb_zakazchik[[#This Row],[Столбец1]]&lt;&gt;"",tb_baza[[#This Row],[Гос. номер]],"")</f>
        <v/>
      </c>
    </row>
    <row r="679" spans="1:11" x14ac:dyDescent="0.25">
      <c r="A679" s="17" t="s">
        <v>1196</v>
      </c>
      <c r="B679" s="10" t="s">
        <v>57</v>
      </c>
      <c r="C679" s="13" t="s">
        <v>153</v>
      </c>
      <c r="D679" s="7" t="s">
        <v>1279</v>
      </c>
      <c r="E679" s="3"/>
      <c r="F679" s="2" t="s">
        <v>3</v>
      </c>
      <c r="G679" s="31"/>
      <c r="I6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79" t="str">
        <f>IF(tb_zakazchik[[#This Row],[Столбец1]]&lt;&gt;"",SUM($I$2:I679),"")</f>
        <v/>
      </c>
      <c r="K679" t="str">
        <f>IF(tb_zakazchik[[#This Row],[Столбец1]]&lt;&gt;"",tb_baza[[#This Row],[Гос. номер]],"")</f>
        <v/>
      </c>
    </row>
    <row r="680" spans="1:11" x14ac:dyDescent="0.25">
      <c r="A680" s="17" t="s">
        <v>120</v>
      </c>
      <c r="B680" s="10" t="s">
        <v>28</v>
      </c>
      <c r="C680" s="13" t="s">
        <v>153</v>
      </c>
      <c r="D680" s="7" t="s">
        <v>1279</v>
      </c>
      <c r="E680" s="2" t="s">
        <v>1104</v>
      </c>
      <c r="F680" s="2" t="s">
        <v>3</v>
      </c>
      <c r="G680" s="31"/>
      <c r="I6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0" t="str">
        <f>IF(tb_zakazchik[[#This Row],[Столбец1]]&lt;&gt;"",SUM($I$2:I680),"")</f>
        <v/>
      </c>
      <c r="K680" t="str">
        <f>IF(tb_zakazchik[[#This Row],[Столбец1]]&lt;&gt;"",tb_baza[[#This Row],[Гос. номер]],"")</f>
        <v/>
      </c>
    </row>
    <row r="681" spans="1:11" x14ac:dyDescent="0.25">
      <c r="A681" s="17" t="s">
        <v>58</v>
      </c>
      <c r="B681" s="10" t="s">
        <v>57</v>
      </c>
      <c r="C681" s="13" t="s">
        <v>153</v>
      </c>
      <c r="D681" s="7" t="s">
        <v>1279</v>
      </c>
      <c r="E681" s="3"/>
      <c r="F681" s="2" t="s">
        <v>3</v>
      </c>
      <c r="G681" s="31"/>
      <c r="I6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1" t="str">
        <f>IF(tb_zakazchik[[#This Row],[Столбец1]]&lt;&gt;"",SUM($I$2:I681),"")</f>
        <v/>
      </c>
      <c r="K681" t="str">
        <f>IF(tb_zakazchik[[#This Row],[Столбец1]]&lt;&gt;"",tb_baza[[#This Row],[Гос. номер]],"")</f>
        <v/>
      </c>
    </row>
    <row r="682" spans="1:11" x14ac:dyDescent="0.25">
      <c r="A682" s="17" t="s">
        <v>1242</v>
      </c>
      <c r="B682" s="10" t="s">
        <v>47</v>
      </c>
      <c r="C682" s="13" t="s">
        <v>153</v>
      </c>
      <c r="D682" s="7" t="s">
        <v>1279</v>
      </c>
      <c r="E682" s="3"/>
      <c r="F682" s="2" t="s">
        <v>6</v>
      </c>
      <c r="G682" s="31"/>
      <c r="I6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2" t="str">
        <f>IF(tb_zakazchik[[#This Row],[Столбец1]]&lt;&gt;"",SUM($I$2:I682),"")</f>
        <v/>
      </c>
      <c r="K682" t="str">
        <f>IF(tb_zakazchik[[#This Row],[Столбец1]]&lt;&gt;"",tb_baza[[#This Row],[Гос. номер]],"")</f>
        <v/>
      </c>
    </row>
    <row r="683" spans="1:11" x14ac:dyDescent="0.25">
      <c r="A683" s="17" t="s">
        <v>1253</v>
      </c>
      <c r="B683" s="10" t="s">
        <v>47</v>
      </c>
      <c r="C683" s="13" t="s">
        <v>153</v>
      </c>
      <c r="D683" s="7" t="s">
        <v>1279</v>
      </c>
      <c r="E683" s="3"/>
      <c r="F683" s="2" t="s">
        <v>3</v>
      </c>
      <c r="G683" s="31"/>
      <c r="I6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3" t="str">
        <f>IF(tb_zakazchik[[#This Row],[Столбец1]]&lt;&gt;"",SUM($I$2:I683),"")</f>
        <v/>
      </c>
      <c r="K683" t="str">
        <f>IF(tb_zakazchik[[#This Row],[Столбец1]]&lt;&gt;"",tb_baza[[#This Row],[Гос. номер]],"")</f>
        <v/>
      </c>
    </row>
    <row r="684" spans="1:11" x14ac:dyDescent="0.25">
      <c r="A684" s="17" t="s">
        <v>1251</v>
      </c>
      <c r="B684" s="10" t="s">
        <v>47</v>
      </c>
      <c r="C684" s="13" t="s">
        <v>153</v>
      </c>
      <c r="D684" s="7" t="s">
        <v>1279</v>
      </c>
      <c r="E684" s="2" t="s">
        <v>140</v>
      </c>
      <c r="F684" s="2" t="s">
        <v>3</v>
      </c>
      <c r="G684" s="31"/>
      <c r="I6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4" t="str">
        <f>IF(tb_zakazchik[[#This Row],[Столбец1]]&lt;&gt;"",SUM($I$2:I684),"")</f>
        <v/>
      </c>
      <c r="K684" t="str">
        <f>IF(tb_zakazchik[[#This Row],[Столбец1]]&lt;&gt;"",tb_baza[[#This Row],[Гос. номер]],"")</f>
        <v/>
      </c>
    </row>
    <row r="685" spans="1:11" x14ac:dyDescent="0.25">
      <c r="A685" s="17" t="s">
        <v>1252</v>
      </c>
      <c r="B685" s="10" t="s">
        <v>47</v>
      </c>
      <c r="C685" s="13" t="s">
        <v>153</v>
      </c>
      <c r="D685" s="7" t="s">
        <v>1279</v>
      </c>
      <c r="E685" s="2" t="s">
        <v>140</v>
      </c>
      <c r="F685" s="2" t="s">
        <v>3</v>
      </c>
      <c r="G685" s="31"/>
      <c r="I6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5" t="str">
        <f>IF(tb_zakazchik[[#This Row],[Столбец1]]&lt;&gt;"",SUM($I$2:I685),"")</f>
        <v/>
      </c>
      <c r="K685" t="str">
        <f>IF(tb_zakazchik[[#This Row],[Столбец1]]&lt;&gt;"",tb_baza[[#This Row],[Гос. номер]],"")</f>
        <v/>
      </c>
    </row>
    <row r="686" spans="1:11" x14ac:dyDescent="0.25">
      <c r="A686" s="17" t="s">
        <v>1250</v>
      </c>
      <c r="B686" s="10" t="s">
        <v>47</v>
      </c>
      <c r="C686" s="13" t="s">
        <v>153</v>
      </c>
      <c r="D686" s="7" t="s">
        <v>1279</v>
      </c>
      <c r="E686" s="2" t="s">
        <v>140</v>
      </c>
      <c r="F686" s="2" t="s">
        <v>3</v>
      </c>
      <c r="G686" s="31"/>
      <c r="I6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6" t="str">
        <f>IF(tb_zakazchik[[#This Row],[Столбец1]]&lt;&gt;"",SUM($I$2:I686),"")</f>
        <v/>
      </c>
      <c r="K686" t="str">
        <f>IF(tb_zakazchik[[#This Row],[Столбец1]]&lt;&gt;"",tb_baza[[#This Row],[Гос. номер]],"")</f>
        <v/>
      </c>
    </row>
    <row r="687" spans="1:11" x14ac:dyDescent="0.25">
      <c r="A687" s="17" t="s">
        <v>1234</v>
      </c>
      <c r="B687" s="10" t="s">
        <v>47</v>
      </c>
      <c r="C687" s="13" t="s">
        <v>153</v>
      </c>
      <c r="D687" s="7" t="s">
        <v>1279</v>
      </c>
      <c r="E687" s="2" t="s">
        <v>140</v>
      </c>
      <c r="F687" s="2" t="s">
        <v>6</v>
      </c>
      <c r="G687" s="31"/>
      <c r="I6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7" t="str">
        <f>IF(tb_zakazchik[[#This Row],[Столбец1]]&lt;&gt;"",SUM($I$2:I687),"")</f>
        <v/>
      </c>
      <c r="K687" t="str">
        <f>IF(tb_zakazchik[[#This Row],[Столбец1]]&lt;&gt;"",tb_baza[[#This Row],[Гос. номер]],"")</f>
        <v/>
      </c>
    </row>
    <row r="688" spans="1:11" x14ac:dyDescent="0.25">
      <c r="A688" s="17" t="s">
        <v>1236</v>
      </c>
      <c r="B688" s="10" t="s">
        <v>47</v>
      </c>
      <c r="C688" s="13" t="s">
        <v>153</v>
      </c>
      <c r="D688" s="7" t="s">
        <v>1279</v>
      </c>
      <c r="E688" s="2" t="s">
        <v>140</v>
      </c>
      <c r="F688" s="2" t="s">
        <v>3</v>
      </c>
      <c r="G688" s="31"/>
      <c r="I6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8" t="str">
        <f>IF(tb_zakazchik[[#This Row],[Столбец1]]&lt;&gt;"",SUM($I$2:I688),"")</f>
        <v/>
      </c>
      <c r="K688" t="str">
        <f>IF(tb_zakazchik[[#This Row],[Столбец1]]&lt;&gt;"",tb_baza[[#This Row],[Гос. номер]],"")</f>
        <v/>
      </c>
    </row>
    <row r="689" spans="1:11" x14ac:dyDescent="0.25">
      <c r="A689" s="17" t="s">
        <v>1232</v>
      </c>
      <c r="B689" s="10" t="s">
        <v>47</v>
      </c>
      <c r="C689" s="13" t="s">
        <v>153</v>
      </c>
      <c r="D689" s="7" t="s">
        <v>1279</v>
      </c>
      <c r="E689" s="2" t="s">
        <v>140</v>
      </c>
      <c r="F689" s="2" t="s">
        <v>3</v>
      </c>
      <c r="G689" s="31"/>
      <c r="I6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89" t="str">
        <f>IF(tb_zakazchik[[#This Row],[Столбец1]]&lt;&gt;"",SUM($I$2:I689),"")</f>
        <v/>
      </c>
      <c r="K689" t="str">
        <f>IF(tb_zakazchik[[#This Row],[Столбец1]]&lt;&gt;"",tb_baza[[#This Row],[Гос. номер]],"")</f>
        <v/>
      </c>
    </row>
    <row r="690" spans="1:11" x14ac:dyDescent="0.25">
      <c r="A690" s="17" t="s">
        <v>1231</v>
      </c>
      <c r="B690" s="10" t="s">
        <v>47</v>
      </c>
      <c r="C690" s="13" t="s">
        <v>153</v>
      </c>
      <c r="D690" s="7" t="s">
        <v>1279</v>
      </c>
      <c r="E690" s="2" t="s">
        <v>140</v>
      </c>
      <c r="F690" s="2" t="s">
        <v>3</v>
      </c>
      <c r="G690" s="31"/>
      <c r="I6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0" t="str">
        <f>IF(tb_zakazchik[[#This Row],[Столбец1]]&lt;&gt;"",SUM($I$2:I690),"")</f>
        <v/>
      </c>
      <c r="K690" t="str">
        <f>IF(tb_zakazchik[[#This Row],[Столбец1]]&lt;&gt;"",tb_baza[[#This Row],[Гос. номер]],"")</f>
        <v/>
      </c>
    </row>
    <row r="691" spans="1:11" x14ac:dyDescent="0.25">
      <c r="A691" s="17" t="s">
        <v>1237</v>
      </c>
      <c r="B691" s="10" t="s">
        <v>47</v>
      </c>
      <c r="C691" s="13" t="s">
        <v>153</v>
      </c>
      <c r="D691" s="7" t="s">
        <v>1279</v>
      </c>
      <c r="E691" s="2" t="s">
        <v>140</v>
      </c>
      <c r="F691" s="2" t="s">
        <v>3</v>
      </c>
      <c r="G691" s="31"/>
      <c r="I6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1" t="str">
        <f>IF(tb_zakazchik[[#This Row],[Столбец1]]&lt;&gt;"",SUM($I$2:I691),"")</f>
        <v/>
      </c>
      <c r="K691" t="str">
        <f>IF(tb_zakazchik[[#This Row],[Столбец1]]&lt;&gt;"",tb_baza[[#This Row],[Гос. номер]],"")</f>
        <v/>
      </c>
    </row>
    <row r="692" spans="1:11" x14ac:dyDescent="0.25">
      <c r="A692" s="17" t="s">
        <v>1233</v>
      </c>
      <c r="B692" s="10" t="s">
        <v>47</v>
      </c>
      <c r="C692" s="13" t="s">
        <v>153</v>
      </c>
      <c r="D692" s="7" t="s">
        <v>1279</v>
      </c>
      <c r="E692" s="2" t="s">
        <v>140</v>
      </c>
      <c r="F692" s="2" t="s">
        <v>3</v>
      </c>
      <c r="G692" s="31"/>
      <c r="I6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2" t="str">
        <f>IF(tb_zakazchik[[#This Row],[Столбец1]]&lt;&gt;"",SUM($I$2:I692),"")</f>
        <v/>
      </c>
      <c r="K692" t="str">
        <f>IF(tb_zakazchik[[#This Row],[Столбец1]]&lt;&gt;"",tb_baza[[#This Row],[Гос. номер]],"")</f>
        <v/>
      </c>
    </row>
    <row r="693" spans="1:11" x14ac:dyDescent="0.25">
      <c r="A693" s="17" t="s">
        <v>48</v>
      </c>
      <c r="B693" s="10" t="s">
        <v>47</v>
      </c>
      <c r="C693" s="13" t="s">
        <v>153</v>
      </c>
      <c r="D693" s="7" t="s">
        <v>1279</v>
      </c>
      <c r="E693" s="2" t="s">
        <v>140</v>
      </c>
      <c r="F693" s="2" t="s">
        <v>3</v>
      </c>
      <c r="G693" s="31"/>
      <c r="I6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3" t="str">
        <f>IF(tb_zakazchik[[#This Row],[Столбец1]]&lt;&gt;"",SUM($I$2:I693),"")</f>
        <v/>
      </c>
      <c r="K693" t="str">
        <f>IF(tb_zakazchik[[#This Row],[Столбец1]]&lt;&gt;"",tb_baza[[#This Row],[Гос. номер]],"")</f>
        <v/>
      </c>
    </row>
    <row r="694" spans="1:11" x14ac:dyDescent="0.25">
      <c r="A694" s="17" t="s">
        <v>1235</v>
      </c>
      <c r="B694" s="10" t="s">
        <v>47</v>
      </c>
      <c r="C694" s="13" t="s">
        <v>153</v>
      </c>
      <c r="D694" s="7" t="s">
        <v>1279</v>
      </c>
      <c r="E694" s="2" t="s">
        <v>140</v>
      </c>
      <c r="F694" s="2" t="s">
        <v>3</v>
      </c>
      <c r="G694" s="31"/>
      <c r="I6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4" t="str">
        <f>IF(tb_zakazchik[[#This Row],[Столбец1]]&lt;&gt;"",SUM($I$2:I694),"")</f>
        <v/>
      </c>
      <c r="K694" t="str">
        <f>IF(tb_zakazchik[[#This Row],[Столбец1]]&lt;&gt;"",tb_baza[[#This Row],[Гос. номер]],"")</f>
        <v/>
      </c>
    </row>
    <row r="695" spans="1:11" x14ac:dyDescent="0.25">
      <c r="A695" s="17" t="s">
        <v>1258</v>
      </c>
      <c r="B695" s="10" t="s">
        <v>1255</v>
      </c>
      <c r="C695" s="13" t="s">
        <v>153</v>
      </c>
      <c r="D695" s="7" t="s">
        <v>1279</v>
      </c>
      <c r="E695" s="2" t="s">
        <v>1205</v>
      </c>
      <c r="F695" s="2" t="s">
        <v>3</v>
      </c>
      <c r="G695" s="31"/>
      <c r="I6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5" t="str">
        <f>IF(tb_zakazchik[[#This Row],[Столбец1]]&lt;&gt;"",SUM($I$2:I695),"")</f>
        <v/>
      </c>
      <c r="K695" t="str">
        <f>IF(tb_zakazchik[[#This Row],[Столбец1]]&lt;&gt;"",tb_baza[[#This Row],[Гос. номер]],"")</f>
        <v/>
      </c>
    </row>
    <row r="696" spans="1:11" x14ac:dyDescent="0.25">
      <c r="A696" s="17" t="s">
        <v>222</v>
      </c>
      <c r="B696" s="10" t="s">
        <v>79</v>
      </c>
      <c r="C696" s="13" t="s">
        <v>153</v>
      </c>
      <c r="D696" s="7" t="s">
        <v>1297</v>
      </c>
      <c r="E696" s="2" t="s">
        <v>223</v>
      </c>
      <c r="F696" s="2" t="s">
        <v>3</v>
      </c>
      <c r="G696" s="31"/>
      <c r="I6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6" t="str">
        <f>IF(tb_zakazchik[[#This Row],[Столбец1]]&lt;&gt;"",SUM($I$2:I696),"")</f>
        <v/>
      </c>
      <c r="K696" t="str">
        <f>IF(tb_zakazchik[[#This Row],[Столбец1]]&lt;&gt;"",tb_baza[[#This Row],[Гос. номер]],"")</f>
        <v/>
      </c>
    </row>
    <row r="697" spans="1:11" x14ac:dyDescent="0.25">
      <c r="A697" s="17" t="s">
        <v>1068</v>
      </c>
      <c r="B697" s="10" t="s">
        <v>79</v>
      </c>
      <c r="C697" s="13" t="s">
        <v>153</v>
      </c>
      <c r="D697" s="7" t="s">
        <v>1297</v>
      </c>
      <c r="E697" s="2" t="s">
        <v>223</v>
      </c>
      <c r="F697" s="2" t="s">
        <v>3</v>
      </c>
      <c r="G697" s="31"/>
      <c r="I6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7" t="str">
        <f>IF(tb_zakazchik[[#This Row],[Столбец1]]&lt;&gt;"",SUM($I$2:I697),"")</f>
        <v/>
      </c>
      <c r="K697" t="str">
        <f>IF(tb_zakazchik[[#This Row],[Столбец1]]&lt;&gt;"",tb_baza[[#This Row],[Гос. номер]],"")</f>
        <v/>
      </c>
    </row>
    <row r="698" spans="1:11" x14ac:dyDescent="0.25">
      <c r="A698" s="17" t="s">
        <v>802</v>
      </c>
      <c r="B698" s="10" t="s">
        <v>801</v>
      </c>
      <c r="C698" s="13" t="s">
        <v>153</v>
      </c>
      <c r="D698" s="7" t="s">
        <v>1297</v>
      </c>
      <c r="E698" s="2" t="s">
        <v>223</v>
      </c>
      <c r="F698" s="2" t="s">
        <v>3</v>
      </c>
      <c r="G698" s="31"/>
      <c r="I6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8" t="str">
        <f>IF(tb_zakazchik[[#This Row],[Столбец1]]&lt;&gt;"",SUM($I$2:I698),"")</f>
        <v/>
      </c>
      <c r="K698" t="str">
        <f>IF(tb_zakazchik[[#This Row],[Столбец1]]&lt;&gt;"",tb_baza[[#This Row],[Гос. номер]],"")</f>
        <v/>
      </c>
    </row>
    <row r="699" spans="1:11" x14ac:dyDescent="0.25">
      <c r="A699" s="17" t="s">
        <v>914</v>
      </c>
      <c r="B699" s="10" t="s">
        <v>913</v>
      </c>
      <c r="C699" s="13" t="s">
        <v>153</v>
      </c>
      <c r="D699" s="7" t="s">
        <v>1297</v>
      </c>
      <c r="E699" s="2" t="s">
        <v>223</v>
      </c>
      <c r="F699" s="2" t="s">
        <v>3</v>
      </c>
      <c r="G699" s="31"/>
      <c r="I6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699" t="str">
        <f>IF(tb_zakazchik[[#This Row],[Столбец1]]&lt;&gt;"",SUM($I$2:I699),"")</f>
        <v/>
      </c>
      <c r="K699" t="str">
        <f>IF(tb_zakazchik[[#This Row],[Столбец1]]&lt;&gt;"",tb_baza[[#This Row],[Гос. номер]],"")</f>
        <v/>
      </c>
    </row>
    <row r="700" spans="1:11" x14ac:dyDescent="0.25">
      <c r="A700" s="17" t="s">
        <v>1011</v>
      </c>
      <c r="B700" s="10" t="s">
        <v>1010</v>
      </c>
      <c r="C700" s="13" t="s">
        <v>153</v>
      </c>
      <c r="D700" s="7" t="s">
        <v>1297</v>
      </c>
      <c r="E700" s="2" t="s">
        <v>223</v>
      </c>
      <c r="F700" s="2" t="s">
        <v>3</v>
      </c>
      <c r="G700" s="31"/>
      <c r="I7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0" t="str">
        <f>IF(tb_zakazchik[[#This Row],[Столбец1]]&lt;&gt;"",SUM($I$2:I700),"")</f>
        <v/>
      </c>
      <c r="K700" t="str">
        <f>IF(tb_zakazchik[[#This Row],[Столбец1]]&lt;&gt;"",tb_baza[[#This Row],[Гос. номер]],"")</f>
        <v/>
      </c>
    </row>
    <row r="701" spans="1:11" x14ac:dyDescent="0.25">
      <c r="A701" s="17" t="s">
        <v>1201</v>
      </c>
      <c r="B701" s="10" t="s">
        <v>1200</v>
      </c>
      <c r="C701" s="13" t="s">
        <v>153</v>
      </c>
      <c r="D701" s="7" t="s">
        <v>1297</v>
      </c>
      <c r="E701" s="2" t="s">
        <v>223</v>
      </c>
      <c r="F701" s="2" t="s">
        <v>3</v>
      </c>
      <c r="G701" s="31"/>
      <c r="I7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1" t="str">
        <f>IF(tb_zakazchik[[#This Row],[Столбец1]]&lt;&gt;"",SUM($I$2:I701),"")</f>
        <v/>
      </c>
      <c r="K701" t="str">
        <f>IF(tb_zakazchik[[#This Row],[Столбец1]]&lt;&gt;"",tb_baza[[#This Row],[Гос. номер]],"")</f>
        <v/>
      </c>
    </row>
    <row r="702" spans="1:11" x14ac:dyDescent="0.25">
      <c r="A702" s="17" t="s">
        <v>1148</v>
      </c>
      <c r="B702" s="10" t="s">
        <v>1147</v>
      </c>
      <c r="C702" s="13" t="s">
        <v>153</v>
      </c>
      <c r="D702" s="7" t="s">
        <v>1297</v>
      </c>
      <c r="E702" s="2" t="s">
        <v>2</v>
      </c>
      <c r="F702" s="2" t="s">
        <v>3</v>
      </c>
      <c r="G702" s="31"/>
      <c r="I7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2" t="str">
        <f>IF(tb_zakazchik[[#This Row],[Столбец1]]&lt;&gt;"",SUM($I$2:I702),"")</f>
        <v/>
      </c>
      <c r="K702" t="str">
        <f>IF(tb_zakazchik[[#This Row],[Столбец1]]&lt;&gt;"",tb_baza[[#This Row],[Гос. номер]],"")</f>
        <v/>
      </c>
    </row>
    <row r="703" spans="1:11" x14ac:dyDescent="0.25">
      <c r="A703" s="17" t="s">
        <v>144</v>
      </c>
      <c r="B703" s="10" t="s">
        <v>53</v>
      </c>
      <c r="C703" s="13" t="s">
        <v>153</v>
      </c>
      <c r="D703" s="7" t="s">
        <v>1271</v>
      </c>
      <c r="E703" s="2" t="s">
        <v>1306</v>
      </c>
      <c r="F703" s="2" t="s">
        <v>3</v>
      </c>
      <c r="G703" s="31"/>
      <c r="I7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3" t="str">
        <f>IF(tb_zakazchik[[#This Row],[Столбец1]]&lt;&gt;"",SUM($I$2:I703),"")</f>
        <v/>
      </c>
      <c r="K703" t="str">
        <f>IF(tb_zakazchik[[#This Row],[Столбец1]]&lt;&gt;"",tb_baza[[#This Row],[Гос. номер]],"")</f>
        <v/>
      </c>
    </row>
    <row r="704" spans="1:11" x14ac:dyDescent="0.25">
      <c r="A704" s="17" t="s">
        <v>666</v>
      </c>
      <c r="B704" s="10" t="s">
        <v>53</v>
      </c>
      <c r="C704" s="13" t="s">
        <v>153</v>
      </c>
      <c r="D704" s="7" t="s">
        <v>1271</v>
      </c>
      <c r="E704" s="2" t="s">
        <v>1306</v>
      </c>
      <c r="F704" s="2" t="s">
        <v>3</v>
      </c>
      <c r="G704" s="31"/>
      <c r="I7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4" t="str">
        <f>IF(tb_zakazchik[[#This Row],[Столбец1]]&lt;&gt;"",SUM($I$2:I704),"")</f>
        <v/>
      </c>
      <c r="K704" t="str">
        <f>IF(tb_zakazchik[[#This Row],[Столбец1]]&lt;&gt;"",tb_baza[[#This Row],[Гос. номер]],"")</f>
        <v/>
      </c>
    </row>
    <row r="705" spans="1:11" x14ac:dyDescent="0.25">
      <c r="A705" s="17" t="s">
        <v>827</v>
      </c>
      <c r="B705" s="10" t="s">
        <v>53</v>
      </c>
      <c r="C705" s="13" t="s">
        <v>153</v>
      </c>
      <c r="D705" s="7" t="s">
        <v>1271</v>
      </c>
      <c r="E705" s="2" t="s">
        <v>1306</v>
      </c>
      <c r="F705" s="2" t="s">
        <v>13</v>
      </c>
      <c r="G705" s="31"/>
      <c r="I7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5" t="str">
        <f>IF(tb_zakazchik[[#This Row],[Столбец1]]&lt;&gt;"",SUM($I$2:I705),"")</f>
        <v/>
      </c>
      <c r="K705" t="str">
        <f>IF(tb_zakazchik[[#This Row],[Столбец1]]&lt;&gt;"",tb_baza[[#This Row],[Гос. номер]],"")</f>
        <v/>
      </c>
    </row>
    <row r="706" spans="1:11" x14ac:dyDescent="0.25">
      <c r="A706" s="17" t="s">
        <v>635</v>
      </c>
      <c r="B706" s="10" t="s">
        <v>53</v>
      </c>
      <c r="C706" s="13" t="s">
        <v>153</v>
      </c>
      <c r="D706" s="7" t="s">
        <v>1271</v>
      </c>
      <c r="E706" s="2" t="s">
        <v>1306</v>
      </c>
      <c r="F706" s="2" t="s">
        <v>13</v>
      </c>
      <c r="G706" s="31"/>
      <c r="I7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6" t="str">
        <f>IF(tb_zakazchik[[#This Row],[Столбец1]]&lt;&gt;"",SUM($I$2:I706),"")</f>
        <v/>
      </c>
      <c r="K706" t="str">
        <f>IF(tb_zakazchik[[#This Row],[Столбец1]]&lt;&gt;"",tb_baza[[#This Row],[Гос. номер]],"")</f>
        <v/>
      </c>
    </row>
    <row r="707" spans="1:11" x14ac:dyDescent="0.25">
      <c r="A707" s="17" t="s">
        <v>636</v>
      </c>
      <c r="B707" s="10" t="s">
        <v>53</v>
      </c>
      <c r="C707" s="13" t="s">
        <v>153</v>
      </c>
      <c r="D707" s="7" t="s">
        <v>1271</v>
      </c>
      <c r="E707" s="2" t="s">
        <v>1306</v>
      </c>
      <c r="F707" s="2" t="s">
        <v>6</v>
      </c>
      <c r="G707" s="31"/>
      <c r="I7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7" t="str">
        <f>IF(tb_zakazchik[[#This Row],[Столбец1]]&lt;&gt;"",SUM($I$2:I707),"")</f>
        <v/>
      </c>
      <c r="K707" t="str">
        <f>IF(tb_zakazchik[[#This Row],[Столбец1]]&lt;&gt;"",tb_baza[[#This Row],[Гос. номер]],"")</f>
        <v/>
      </c>
    </row>
    <row r="708" spans="1:11" x14ac:dyDescent="0.25">
      <c r="A708" s="17" t="s">
        <v>208</v>
      </c>
      <c r="B708" s="10" t="s">
        <v>53</v>
      </c>
      <c r="C708" s="13" t="s">
        <v>153</v>
      </c>
      <c r="D708" s="7" t="s">
        <v>1271</v>
      </c>
      <c r="E708" s="2" t="s">
        <v>1306</v>
      </c>
      <c r="F708" s="2" t="s">
        <v>3</v>
      </c>
      <c r="G708" s="31"/>
      <c r="I7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8" t="str">
        <f>IF(tb_zakazchik[[#This Row],[Столбец1]]&lt;&gt;"",SUM($I$2:I708),"")</f>
        <v/>
      </c>
      <c r="K708" t="str">
        <f>IF(tb_zakazchik[[#This Row],[Столбец1]]&lt;&gt;"",tb_baza[[#This Row],[Гос. номер]],"")</f>
        <v/>
      </c>
    </row>
    <row r="709" spans="1:11" x14ac:dyDescent="0.25">
      <c r="A709" s="17" t="s">
        <v>54</v>
      </c>
      <c r="B709" s="10" t="s">
        <v>53</v>
      </c>
      <c r="C709" s="13" t="s">
        <v>153</v>
      </c>
      <c r="D709" s="7" t="s">
        <v>1271</v>
      </c>
      <c r="E709" s="2" t="s">
        <v>1306</v>
      </c>
      <c r="F709" s="2" t="s">
        <v>3</v>
      </c>
      <c r="G709" s="31"/>
      <c r="I7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09" t="str">
        <f>IF(tb_zakazchik[[#This Row],[Столбец1]]&lt;&gt;"",SUM($I$2:I709),"")</f>
        <v/>
      </c>
      <c r="K709" t="str">
        <f>IF(tb_zakazchik[[#This Row],[Столбец1]]&lt;&gt;"",tb_baza[[#This Row],[Гос. номер]],"")</f>
        <v/>
      </c>
    </row>
    <row r="710" spans="1:11" x14ac:dyDescent="0.25">
      <c r="A710" s="17" t="s">
        <v>611</v>
      </c>
      <c r="B710" s="10" t="s">
        <v>531</v>
      </c>
      <c r="C710" s="13" t="s">
        <v>153</v>
      </c>
      <c r="D710" s="7" t="s">
        <v>1271</v>
      </c>
      <c r="E710" s="2" t="s">
        <v>1306</v>
      </c>
      <c r="F710" s="2" t="s">
        <v>6</v>
      </c>
      <c r="G710" s="31"/>
      <c r="I7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0" t="str">
        <f>IF(tb_zakazchik[[#This Row],[Столбец1]]&lt;&gt;"",SUM($I$2:I710),"")</f>
        <v/>
      </c>
      <c r="K710" t="str">
        <f>IF(tb_zakazchik[[#This Row],[Столбец1]]&lt;&gt;"",tb_baza[[#This Row],[Гос. номер]],"")</f>
        <v/>
      </c>
    </row>
    <row r="711" spans="1:11" x14ac:dyDescent="0.25">
      <c r="A711" s="17" t="s">
        <v>179</v>
      </c>
      <c r="B711" s="10" t="s">
        <v>178</v>
      </c>
      <c r="C711" s="13" t="s">
        <v>153</v>
      </c>
      <c r="D711" s="7" t="s">
        <v>1271</v>
      </c>
      <c r="E711" s="2" t="s">
        <v>1306</v>
      </c>
      <c r="F711" s="2" t="s">
        <v>3</v>
      </c>
      <c r="G711" s="31"/>
      <c r="I7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1" t="str">
        <f>IF(tb_zakazchik[[#This Row],[Столбец1]]&lt;&gt;"",SUM($I$2:I711),"")</f>
        <v/>
      </c>
      <c r="K711" t="str">
        <f>IF(tb_zakazchik[[#This Row],[Столбец1]]&lt;&gt;"",tb_baza[[#This Row],[Гос. номер]],"")</f>
        <v/>
      </c>
    </row>
    <row r="712" spans="1:11" x14ac:dyDescent="0.25">
      <c r="A712" s="17" t="s">
        <v>261</v>
      </c>
      <c r="B712" s="10" t="s">
        <v>84</v>
      </c>
      <c r="C712" s="13" t="s">
        <v>153</v>
      </c>
      <c r="D712" s="7" t="s">
        <v>1271</v>
      </c>
      <c r="E712" s="2" t="s">
        <v>1306</v>
      </c>
      <c r="F712" s="2" t="s">
        <v>3</v>
      </c>
      <c r="G712" s="31"/>
      <c r="I7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2" t="str">
        <f>IF(tb_zakazchik[[#This Row],[Столбец1]]&lt;&gt;"",SUM($I$2:I712),"")</f>
        <v/>
      </c>
      <c r="K712" t="str">
        <f>IF(tb_zakazchik[[#This Row],[Столбец1]]&lt;&gt;"",tb_baza[[#This Row],[Гос. номер]],"")</f>
        <v/>
      </c>
    </row>
    <row r="713" spans="1:11" x14ac:dyDescent="0.25">
      <c r="A713" s="17" t="s">
        <v>774</v>
      </c>
      <c r="B713" s="10" t="s">
        <v>84</v>
      </c>
      <c r="C713" s="13" t="s">
        <v>153</v>
      </c>
      <c r="D713" s="7" t="s">
        <v>1271</v>
      </c>
      <c r="E713" s="2" t="s">
        <v>1306</v>
      </c>
      <c r="F713" s="2" t="s">
        <v>3</v>
      </c>
      <c r="G713" s="31"/>
      <c r="I7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3" t="str">
        <f>IF(tb_zakazchik[[#This Row],[Столбец1]]&lt;&gt;"",SUM($I$2:I713),"")</f>
        <v/>
      </c>
      <c r="K713" t="str">
        <f>IF(tb_zakazchik[[#This Row],[Столбец1]]&lt;&gt;"",tb_baza[[#This Row],[Гос. номер]],"")</f>
        <v/>
      </c>
    </row>
    <row r="714" spans="1:11" x14ac:dyDescent="0.25">
      <c r="A714" s="17" t="s">
        <v>572</v>
      </c>
      <c r="B714" s="10" t="s">
        <v>84</v>
      </c>
      <c r="C714" s="13" t="s">
        <v>153</v>
      </c>
      <c r="D714" s="7" t="s">
        <v>1271</v>
      </c>
      <c r="E714" s="2" t="s">
        <v>1306</v>
      </c>
      <c r="F714" s="2" t="s">
        <v>3</v>
      </c>
      <c r="G714" s="31"/>
      <c r="I7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4" t="str">
        <f>IF(tb_zakazchik[[#This Row],[Столбец1]]&lt;&gt;"",SUM($I$2:I714),"")</f>
        <v/>
      </c>
      <c r="K714" t="str">
        <f>IF(tb_zakazchik[[#This Row],[Столбец1]]&lt;&gt;"",tb_baza[[#This Row],[Гос. номер]],"")</f>
        <v/>
      </c>
    </row>
    <row r="715" spans="1:11" x14ac:dyDescent="0.25">
      <c r="A715" s="17" t="s">
        <v>452</v>
      </c>
      <c r="B715" s="10" t="s">
        <v>178</v>
      </c>
      <c r="C715" s="13" t="s">
        <v>153</v>
      </c>
      <c r="D715" s="7" t="s">
        <v>1271</v>
      </c>
      <c r="E715" s="2" t="s">
        <v>1306</v>
      </c>
      <c r="F715" s="2" t="s">
        <v>13</v>
      </c>
      <c r="G715" s="31"/>
      <c r="I7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5" t="str">
        <f>IF(tb_zakazchik[[#This Row],[Столбец1]]&lt;&gt;"",SUM($I$2:I715),"")</f>
        <v/>
      </c>
      <c r="K715" t="str">
        <f>IF(tb_zakazchik[[#This Row],[Столбец1]]&lt;&gt;"",tb_baza[[#This Row],[Гос. номер]],"")</f>
        <v/>
      </c>
    </row>
    <row r="716" spans="1:11" x14ac:dyDescent="0.25">
      <c r="A716" s="17" t="s">
        <v>310</v>
      </c>
      <c r="B716" s="10" t="s">
        <v>84</v>
      </c>
      <c r="C716" s="13" t="s">
        <v>153</v>
      </c>
      <c r="D716" s="7" t="s">
        <v>1271</v>
      </c>
      <c r="E716" s="2" t="s">
        <v>1306</v>
      </c>
      <c r="F716" s="2" t="s">
        <v>13</v>
      </c>
      <c r="G716" s="31"/>
      <c r="I7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6" t="str">
        <f>IF(tb_zakazchik[[#This Row],[Столбец1]]&lt;&gt;"",SUM($I$2:I716),"")</f>
        <v/>
      </c>
      <c r="K716" t="str">
        <f>IF(tb_zakazchik[[#This Row],[Столбец1]]&lt;&gt;"",tb_baza[[#This Row],[Гос. номер]],"")</f>
        <v/>
      </c>
    </row>
    <row r="717" spans="1:11" x14ac:dyDescent="0.25">
      <c r="A717" s="17" t="s">
        <v>739</v>
      </c>
      <c r="B717" s="10" t="s">
        <v>84</v>
      </c>
      <c r="C717" s="13" t="s">
        <v>153</v>
      </c>
      <c r="D717" s="7" t="s">
        <v>1271</v>
      </c>
      <c r="E717" s="2" t="s">
        <v>1306</v>
      </c>
      <c r="F717" s="2" t="s">
        <v>6</v>
      </c>
      <c r="G717" s="31"/>
      <c r="I7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7" t="str">
        <f>IF(tb_zakazchik[[#This Row],[Столбец1]]&lt;&gt;"",SUM($I$2:I717),"")</f>
        <v/>
      </c>
      <c r="K717" t="str">
        <f>IF(tb_zakazchik[[#This Row],[Столбец1]]&lt;&gt;"",tb_baza[[#This Row],[Гос. номер]],"")</f>
        <v/>
      </c>
    </row>
    <row r="718" spans="1:11" x14ac:dyDescent="0.25">
      <c r="A718" s="17" t="s">
        <v>481</v>
      </c>
      <c r="B718" s="10" t="s">
        <v>49</v>
      </c>
      <c r="C718" s="13" t="s">
        <v>153</v>
      </c>
      <c r="D718" s="7" t="s">
        <v>1271</v>
      </c>
      <c r="E718" s="2" t="s">
        <v>2</v>
      </c>
      <c r="F718" s="2" t="s">
        <v>3</v>
      </c>
      <c r="G718" s="31"/>
      <c r="I7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8" t="str">
        <f>IF(tb_zakazchik[[#This Row],[Столбец1]]&lt;&gt;"",SUM($I$2:I718),"")</f>
        <v/>
      </c>
      <c r="K718" t="str">
        <f>IF(tb_zakazchik[[#This Row],[Столбец1]]&lt;&gt;"",tb_baza[[#This Row],[Гос. номер]],"")</f>
        <v/>
      </c>
    </row>
    <row r="719" spans="1:11" x14ac:dyDescent="0.25">
      <c r="A719" s="17" t="s">
        <v>608</v>
      </c>
      <c r="B719" s="10" t="s">
        <v>84</v>
      </c>
      <c r="C719" s="13" t="s">
        <v>153</v>
      </c>
      <c r="D719" s="7" t="s">
        <v>1271</v>
      </c>
      <c r="E719" s="2" t="s">
        <v>2</v>
      </c>
      <c r="F719" s="2" t="s">
        <v>13</v>
      </c>
      <c r="G719" s="31"/>
      <c r="I7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19" t="str">
        <f>IF(tb_zakazchik[[#This Row],[Столбец1]]&lt;&gt;"",SUM($I$2:I719),"")</f>
        <v/>
      </c>
      <c r="K719" t="str">
        <f>IF(tb_zakazchik[[#This Row],[Столбец1]]&lt;&gt;"",tb_baza[[#This Row],[Гос. номер]],"")</f>
        <v/>
      </c>
    </row>
    <row r="720" spans="1:11" x14ac:dyDescent="0.25">
      <c r="A720" s="17" t="s">
        <v>256</v>
      </c>
      <c r="B720" s="10" t="s">
        <v>255</v>
      </c>
      <c r="C720" s="13" t="s">
        <v>153</v>
      </c>
      <c r="D720" s="7" t="s">
        <v>1271</v>
      </c>
      <c r="E720" s="2" t="s">
        <v>12</v>
      </c>
      <c r="F720" s="2" t="s">
        <v>6</v>
      </c>
      <c r="G720" s="31"/>
      <c r="I7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0" t="str">
        <f>IF(tb_zakazchik[[#This Row],[Столбец1]]&lt;&gt;"",SUM($I$2:I720),"")</f>
        <v/>
      </c>
      <c r="K720" t="str">
        <f>IF(tb_zakazchik[[#This Row],[Столбец1]]&lt;&gt;"",tb_baza[[#This Row],[Гос. номер]],"")</f>
        <v/>
      </c>
    </row>
    <row r="721" spans="1:11" x14ac:dyDescent="0.25">
      <c r="A721" s="17" t="s">
        <v>844</v>
      </c>
      <c r="B721" s="10" t="s">
        <v>255</v>
      </c>
      <c r="C721" s="13" t="s">
        <v>153</v>
      </c>
      <c r="D721" s="7" t="s">
        <v>1271</v>
      </c>
      <c r="E721" s="2" t="s">
        <v>12</v>
      </c>
      <c r="F721" s="2" t="s">
        <v>13</v>
      </c>
      <c r="G721" s="31"/>
      <c r="I7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1" t="str">
        <f>IF(tb_zakazchik[[#This Row],[Столбец1]]&lt;&gt;"",SUM($I$2:I721),"")</f>
        <v/>
      </c>
      <c r="K721" t="str">
        <f>IF(tb_zakazchik[[#This Row],[Столбец1]]&lt;&gt;"",tb_baza[[#This Row],[Гос. номер]],"")</f>
        <v/>
      </c>
    </row>
    <row r="722" spans="1:11" x14ac:dyDescent="0.25">
      <c r="A722" s="17" t="s">
        <v>931</v>
      </c>
      <c r="B722" s="10" t="s">
        <v>255</v>
      </c>
      <c r="C722" s="13" t="s">
        <v>153</v>
      </c>
      <c r="D722" s="7" t="s">
        <v>1271</v>
      </c>
      <c r="E722" s="2" t="s">
        <v>12</v>
      </c>
      <c r="F722" s="2" t="s">
        <v>13</v>
      </c>
      <c r="G722" s="31"/>
      <c r="I7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2" t="str">
        <f>IF(tb_zakazchik[[#This Row],[Столбец1]]&lt;&gt;"",SUM($I$2:I722),"")</f>
        <v/>
      </c>
      <c r="K722" t="str">
        <f>IF(tb_zakazchik[[#This Row],[Столбец1]]&lt;&gt;"",tb_baza[[#This Row],[Гос. номер]],"")</f>
        <v/>
      </c>
    </row>
    <row r="723" spans="1:11" x14ac:dyDescent="0.25">
      <c r="A723" s="17" t="s">
        <v>897</v>
      </c>
      <c r="B723" s="10" t="s">
        <v>255</v>
      </c>
      <c r="C723" s="13" t="s">
        <v>153</v>
      </c>
      <c r="D723" s="7" t="s">
        <v>1271</v>
      </c>
      <c r="E723" s="2" t="s">
        <v>12</v>
      </c>
      <c r="F723" s="2" t="s">
        <v>13</v>
      </c>
      <c r="G723" s="31"/>
      <c r="I7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3" t="str">
        <f>IF(tb_zakazchik[[#This Row],[Столбец1]]&lt;&gt;"",SUM($I$2:I723),"")</f>
        <v/>
      </c>
      <c r="K723" t="str">
        <f>IF(tb_zakazchik[[#This Row],[Столбец1]]&lt;&gt;"",tb_baza[[#This Row],[Гос. номер]],"")</f>
        <v/>
      </c>
    </row>
    <row r="724" spans="1:11" x14ac:dyDescent="0.25">
      <c r="A724" s="17" t="s">
        <v>930</v>
      </c>
      <c r="B724" s="10" t="s">
        <v>255</v>
      </c>
      <c r="C724" s="13" t="s">
        <v>153</v>
      </c>
      <c r="D724" s="7" t="s">
        <v>1271</v>
      </c>
      <c r="E724" s="2" t="s">
        <v>12</v>
      </c>
      <c r="F724" s="2" t="s">
        <v>13</v>
      </c>
      <c r="G724" s="31"/>
      <c r="I7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4" t="str">
        <f>IF(tb_zakazchik[[#This Row],[Столбец1]]&lt;&gt;"",SUM($I$2:I724),"")</f>
        <v/>
      </c>
      <c r="K724" t="str">
        <f>IF(tb_zakazchik[[#This Row],[Столбец1]]&lt;&gt;"",tb_baza[[#This Row],[Гос. номер]],"")</f>
        <v/>
      </c>
    </row>
    <row r="725" spans="1:11" x14ac:dyDescent="0.25">
      <c r="A725" s="17" t="s">
        <v>448</v>
      </c>
      <c r="B725" s="10" t="s">
        <v>447</v>
      </c>
      <c r="C725" s="13" t="s">
        <v>153</v>
      </c>
      <c r="D725" s="7" t="s">
        <v>1292</v>
      </c>
      <c r="E725" s="2" t="s">
        <v>1306</v>
      </c>
      <c r="F725" s="2" t="s">
        <v>13</v>
      </c>
      <c r="G725" s="31"/>
      <c r="I7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5" t="str">
        <f>IF(tb_zakazchik[[#This Row],[Столбец1]]&lt;&gt;"",SUM($I$2:I725),"")</f>
        <v/>
      </c>
      <c r="K725" t="str">
        <f>IF(tb_zakazchik[[#This Row],[Столбец1]]&lt;&gt;"",tb_baza[[#This Row],[Гос. номер]],"")</f>
        <v/>
      </c>
    </row>
    <row r="726" spans="1:11" x14ac:dyDescent="0.25">
      <c r="A726" s="17" t="s">
        <v>747</v>
      </c>
      <c r="B726" s="10" t="s">
        <v>745</v>
      </c>
      <c r="C726" s="13" t="s">
        <v>153</v>
      </c>
      <c r="D726" s="8" t="s">
        <v>207</v>
      </c>
      <c r="E726" s="2" t="s">
        <v>1306</v>
      </c>
      <c r="F726" s="2" t="s">
        <v>6</v>
      </c>
      <c r="G726" s="31"/>
      <c r="I7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6" t="str">
        <f>IF(tb_zakazchik[[#This Row],[Столбец1]]&lt;&gt;"",SUM($I$2:I726),"")</f>
        <v/>
      </c>
      <c r="K726" t="str">
        <f>IF(tb_zakazchik[[#This Row],[Столбец1]]&lt;&gt;"",tb_baza[[#This Row],[Гос. номер]],"")</f>
        <v/>
      </c>
    </row>
    <row r="727" spans="1:11" x14ac:dyDescent="0.25">
      <c r="A727" s="17" t="s">
        <v>744</v>
      </c>
      <c r="B727" s="10" t="s">
        <v>205</v>
      </c>
      <c r="C727" s="13" t="s">
        <v>153</v>
      </c>
      <c r="D727" s="8" t="s">
        <v>207</v>
      </c>
      <c r="E727" s="2" t="s">
        <v>1306</v>
      </c>
      <c r="F727" s="2" t="s">
        <v>6</v>
      </c>
      <c r="G727" s="31"/>
      <c r="I7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7" t="str">
        <f>IF(tb_zakazchik[[#This Row],[Столбец1]]&lt;&gt;"",SUM($I$2:I727),"")</f>
        <v/>
      </c>
      <c r="K727" t="str">
        <f>IF(tb_zakazchik[[#This Row],[Столбец1]]&lt;&gt;"",tb_baza[[#This Row],[Гос. номер]],"")</f>
        <v/>
      </c>
    </row>
    <row r="728" spans="1:11" x14ac:dyDescent="0.25">
      <c r="A728" s="17" t="s">
        <v>206</v>
      </c>
      <c r="B728" s="10" t="s">
        <v>205</v>
      </c>
      <c r="C728" s="13" t="s">
        <v>153</v>
      </c>
      <c r="D728" s="8" t="s">
        <v>207</v>
      </c>
      <c r="E728" s="2" t="s">
        <v>1306</v>
      </c>
      <c r="F728" s="2" t="s">
        <v>6</v>
      </c>
      <c r="G728" s="31"/>
      <c r="I7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8" t="str">
        <f>IF(tb_zakazchik[[#This Row],[Столбец1]]&lt;&gt;"",SUM($I$2:I728),"")</f>
        <v/>
      </c>
      <c r="K728" t="str">
        <f>IF(tb_zakazchik[[#This Row],[Столбец1]]&lt;&gt;"",tb_baza[[#This Row],[Гос. номер]],"")</f>
        <v/>
      </c>
    </row>
    <row r="729" spans="1:11" x14ac:dyDescent="0.25">
      <c r="A729" s="17" t="s">
        <v>746</v>
      </c>
      <c r="B729" s="10" t="s">
        <v>745</v>
      </c>
      <c r="C729" s="13" t="s">
        <v>153</v>
      </c>
      <c r="D729" s="8" t="s">
        <v>207</v>
      </c>
      <c r="E729" s="2" t="s">
        <v>1306</v>
      </c>
      <c r="F729" s="2" t="s">
        <v>6</v>
      </c>
      <c r="G729" s="31"/>
      <c r="I7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29" t="str">
        <f>IF(tb_zakazchik[[#This Row],[Столбец1]]&lt;&gt;"",SUM($I$2:I729),"")</f>
        <v/>
      </c>
      <c r="K729" t="str">
        <f>IF(tb_zakazchik[[#This Row],[Столбец1]]&lt;&gt;"",tb_baza[[#This Row],[Гос. номер]],"")</f>
        <v/>
      </c>
    </row>
    <row r="730" spans="1:11" x14ac:dyDescent="0.25">
      <c r="A730" s="17" t="s">
        <v>41</v>
      </c>
      <c r="B730" s="10" t="s">
        <v>40</v>
      </c>
      <c r="C730" s="13" t="s">
        <v>153</v>
      </c>
      <c r="D730" s="7" t="s">
        <v>1281</v>
      </c>
      <c r="E730" s="2" t="s">
        <v>1306</v>
      </c>
      <c r="F730" s="3"/>
      <c r="G730" s="31"/>
      <c r="I7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0" t="str">
        <f>IF(tb_zakazchik[[#This Row],[Столбец1]]&lt;&gt;"",SUM($I$2:I730),"")</f>
        <v/>
      </c>
      <c r="K730" t="str">
        <f>IF(tb_zakazchik[[#This Row],[Столбец1]]&lt;&gt;"",tb_baza[[#This Row],[Гос. номер]],"")</f>
        <v/>
      </c>
    </row>
    <row r="731" spans="1:11" x14ac:dyDescent="0.25">
      <c r="A731" s="17" t="s">
        <v>327</v>
      </c>
      <c r="B731" s="10" t="s">
        <v>326</v>
      </c>
      <c r="C731" s="13" t="s">
        <v>153</v>
      </c>
      <c r="D731" s="7" t="s">
        <v>1281</v>
      </c>
      <c r="E731" s="2" t="s">
        <v>1306</v>
      </c>
      <c r="F731" s="3"/>
      <c r="G731" s="31"/>
      <c r="I7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1" t="str">
        <f>IF(tb_zakazchik[[#This Row],[Столбец1]]&lt;&gt;"",SUM($I$2:I731),"")</f>
        <v/>
      </c>
      <c r="K731" t="str">
        <f>IF(tb_zakazchik[[#This Row],[Столбец1]]&lt;&gt;"",tb_baza[[#This Row],[Гос. номер]],"")</f>
        <v/>
      </c>
    </row>
    <row r="732" spans="1:11" x14ac:dyDescent="0.25">
      <c r="A732" s="17" t="s">
        <v>337</v>
      </c>
      <c r="B732" s="10" t="s">
        <v>336</v>
      </c>
      <c r="C732" s="13" t="s">
        <v>153</v>
      </c>
      <c r="D732" s="7" t="s">
        <v>1281</v>
      </c>
      <c r="E732" s="2" t="s">
        <v>1307</v>
      </c>
      <c r="F732" s="2" t="s">
        <v>3</v>
      </c>
      <c r="G732" s="31"/>
      <c r="I7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2" t="str">
        <f>IF(tb_zakazchik[[#This Row],[Столбец1]]&lt;&gt;"",SUM($I$2:I732),"")</f>
        <v/>
      </c>
      <c r="K732" t="str">
        <f>IF(tb_zakazchik[[#This Row],[Столбец1]]&lt;&gt;"",tb_baza[[#This Row],[Гос. номер]],"")</f>
        <v/>
      </c>
    </row>
    <row r="733" spans="1:11" x14ac:dyDescent="0.25">
      <c r="A733" s="17" t="s">
        <v>664</v>
      </c>
      <c r="B733" s="10" t="s">
        <v>663</v>
      </c>
      <c r="C733" s="13" t="s">
        <v>153</v>
      </c>
      <c r="D733" s="7" t="s">
        <v>1281</v>
      </c>
      <c r="E733" s="2" t="s">
        <v>2</v>
      </c>
      <c r="F733" s="3"/>
      <c r="G733" s="31"/>
      <c r="I7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3" t="str">
        <f>IF(tb_zakazchik[[#This Row],[Столбец1]]&lt;&gt;"",SUM($I$2:I733),"")</f>
        <v/>
      </c>
      <c r="K733" t="str">
        <f>IF(tb_zakazchik[[#This Row],[Столбец1]]&lt;&gt;"",tb_baza[[#This Row],[Гос. номер]],"")</f>
        <v/>
      </c>
    </row>
    <row r="734" spans="1:11" x14ac:dyDescent="0.25">
      <c r="A734" s="17" t="s">
        <v>406</v>
      </c>
      <c r="B734" s="10" t="s">
        <v>405</v>
      </c>
      <c r="C734" s="13" t="s">
        <v>153</v>
      </c>
      <c r="D734" s="7" t="s">
        <v>1281</v>
      </c>
      <c r="E734" s="2" t="s">
        <v>2</v>
      </c>
      <c r="F734" s="3"/>
      <c r="G734" s="31"/>
      <c r="I7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4" t="str">
        <f>IF(tb_zakazchik[[#This Row],[Столбец1]]&lt;&gt;"",SUM($I$2:I734),"")</f>
        <v/>
      </c>
      <c r="K734" t="str">
        <f>IF(tb_zakazchik[[#This Row],[Столбец1]]&lt;&gt;"",tb_baza[[#This Row],[Гос. номер]],"")</f>
        <v/>
      </c>
    </row>
    <row r="735" spans="1:11" x14ac:dyDescent="0.25">
      <c r="A735" s="17" t="s">
        <v>924</v>
      </c>
      <c r="B735" s="10" t="s">
        <v>326</v>
      </c>
      <c r="C735" s="13" t="s">
        <v>153</v>
      </c>
      <c r="D735" s="7" t="s">
        <v>1281</v>
      </c>
      <c r="E735" s="2" t="s">
        <v>12</v>
      </c>
      <c r="F735" s="2" t="s">
        <v>13</v>
      </c>
      <c r="G735" s="31"/>
      <c r="I7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5" t="str">
        <f>IF(tb_zakazchik[[#This Row],[Столбец1]]&lt;&gt;"",SUM($I$2:I735),"")</f>
        <v/>
      </c>
      <c r="K735" t="str">
        <f>IF(tb_zakazchik[[#This Row],[Столбец1]]&lt;&gt;"",tb_baza[[#This Row],[Гос. номер]],"")</f>
        <v/>
      </c>
    </row>
    <row r="736" spans="1:11" x14ac:dyDescent="0.25">
      <c r="A736" s="17" t="s">
        <v>926</v>
      </c>
      <c r="B736" s="10" t="s">
        <v>326</v>
      </c>
      <c r="C736" s="13" t="s">
        <v>153</v>
      </c>
      <c r="D736" s="7" t="s">
        <v>1281</v>
      </c>
      <c r="E736" s="2" t="s">
        <v>12</v>
      </c>
      <c r="F736" s="2" t="s">
        <v>13</v>
      </c>
      <c r="G736" s="31"/>
      <c r="I7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6" t="str">
        <f>IF(tb_zakazchik[[#This Row],[Столбец1]]&lt;&gt;"",SUM($I$2:I736),"")</f>
        <v/>
      </c>
      <c r="K736" t="str">
        <f>IF(tb_zakazchik[[#This Row],[Столбец1]]&lt;&gt;"",tb_baza[[#This Row],[Гос. номер]],"")</f>
        <v/>
      </c>
    </row>
    <row r="737" spans="1:11" x14ac:dyDescent="0.25">
      <c r="A737" s="17" t="s">
        <v>706</v>
      </c>
      <c r="B737" s="10" t="s">
        <v>389</v>
      </c>
      <c r="C737" s="13" t="s">
        <v>153</v>
      </c>
      <c r="D737" s="7" t="s">
        <v>391</v>
      </c>
      <c r="E737" s="2" t="s">
        <v>1306</v>
      </c>
      <c r="F737" s="2" t="s">
        <v>3</v>
      </c>
      <c r="G737" s="31"/>
      <c r="I7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7" t="str">
        <f>IF(tb_zakazchik[[#This Row],[Столбец1]]&lt;&gt;"",SUM($I$2:I737),"")</f>
        <v/>
      </c>
      <c r="K737" t="str">
        <f>IF(tb_zakazchik[[#This Row],[Столбец1]]&lt;&gt;"",tb_baza[[#This Row],[Гос. номер]],"")</f>
        <v/>
      </c>
    </row>
    <row r="738" spans="1:11" x14ac:dyDescent="0.25">
      <c r="A738" s="17" t="s">
        <v>652</v>
      </c>
      <c r="B738" s="10" t="s">
        <v>389</v>
      </c>
      <c r="C738" s="13" t="s">
        <v>153</v>
      </c>
      <c r="D738" s="7" t="s">
        <v>391</v>
      </c>
      <c r="E738" s="2" t="s">
        <v>1306</v>
      </c>
      <c r="F738" s="2" t="s">
        <v>3</v>
      </c>
      <c r="G738" s="31"/>
      <c r="I7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8" t="str">
        <f>IF(tb_zakazchik[[#This Row],[Столбец1]]&lt;&gt;"",SUM($I$2:I738),"")</f>
        <v/>
      </c>
      <c r="K738" t="str">
        <f>IF(tb_zakazchik[[#This Row],[Столбец1]]&lt;&gt;"",tb_baza[[#This Row],[Гос. номер]],"")</f>
        <v/>
      </c>
    </row>
    <row r="739" spans="1:11" x14ac:dyDescent="0.25">
      <c r="A739" s="17" t="s">
        <v>653</v>
      </c>
      <c r="B739" s="10" t="s">
        <v>389</v>
      </c>
      <c r="C739" s="13" t="s">
        <v>153</v>
      </c>
      <c r="D739" s="7" t="s">
        <v>391</v>
      </c>
      <c r="E739" s="2" t="s">
        <v>1306</v>
      </c>
      <c r="F739" s="2" t="s">
        <v>3</v>
      </c>
      <c r="G739" s="31"/>
      <c r="I7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39" t="str">
        <f>IF(tb_zakazchik[[#This Row],[Столбец1]]&lt;&gt;"",SUM($I$2:I739),"")</f>
        <v/>
      </c>
      <c r="K739" t="str">
        <f>IF(tb_zakazchik[[#This Row],[Столбец1]]&lt;&gt;"",tb_baza[[#This Row],[Гос. номер]],"")</f>
        <v/>
      </c>
    </row>
    <row r="740" spans="1:11" x14ac:dyDescent="0.25">
      <c r="A740" s="17" t="s">
        <v>689</v>
      </c>
      <c r="B740" s="10" t="s">
        <v>389</v>
      </c>
      <c r="C740" s="13" t="s">
        <v>153</v>
      </c>
      <c r="D740" s="7" t="s">
        <v>391</v>
      </c>
      <c r="E740" s="2" t="s">
        <v>1306</v>
      </c>
      <c r="F740" s="2" t="s">
        <v>3</v>
      </c>
      <c r="G740" s="31"/>
      <c r="I7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0" t="str">
        <f>IF(tb_zakazchik[[#This Row],[Столбец1]]&lt;&gt;"",SUM($I$2:I740),"")</f>
        <v/>
      </c>
      <c r="K740" t="str">
        <f>IF(tb_zakazchik[[#This Row],[Столбец1]]&lt;&gt;"",tb_baza[[#This Row],[Гос. номер]],"")</f>
        <v/>
      </c>
    </row>
    <row r="741" spans="1:11" x14ac:dyDescent="0.25">
      <c r="A741" s="17" t="s">
        <v>506</v>
      </c>
      <c r="B741" s="10" t="s">
        <v>389</v>
      </c>
      <c r="C741" s="13" t="s">
        <v>153</v>
      </c>
      <c r="D741" s="7" t="s">
        <v>391</v>
      </c>
      <c r="E741" s="2" t="s">
        <v>1306</v>
      </c>
      <c r="F741" s="2" t="s">
        <v>3</v>
      </c>
      <c r="G741" s="31"/>
      <c r="I7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1" t="str">
        <f>IF(tb_zakazchik[[#This Row],[Столбец1]]&lt;&gt;"",SUM($I$2:I741),"")</f>
        <v/>
      </c>
      <c r="K741" t="str">
        <f>IF(tb_zakazchik[[#This Row],[Столбец1]]&lt;&gt;"",tb_baza[[#This Row],[Гос. номер]],"")</f>
        <v/>
      </c>
    </row>
    <row r="742" spans="1:11" x14ac:dyDescent="0.25">
      <c r="A742" s="17" t="s">
        <v>346</v>
      </c>
      <c r="B742" s="10" t="s">
        <v>30</v>
      </c>
      <c r="C742" s="13" t="s">
        <v>153</v>
      </c>
      <c r="D742" s="7" t="s">
        <v>391</v>
      </c>
      <c r="E742" s="2" t="s">
        <v>1306</v>
      </c>
      <c r="F742" s="2" t="s">
        <v>3</v>
      </c>
      <c r="G742" s="31"/>
      <c r="I7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2" t="str">
        <f>IF(tb_zakazchik[[#This Row],[Столбец1]]&lt;&gt;"",SUM($I$2:I742),"")</f>
        <v/>
      </c>
      <c r="K742" t="str">
        <f>IF(tb_zakazchik[[#This Row],[Столбец1]]&lt;&gt;"",tb_baza[[#This Row],[Гос. номер]],"")</f>
        <v/>
      </c>
    </row>
    <row r="743" spans="1:11" x14ac:dyDescent="0.25">
      <c r="A743" s="17" t="s">
        <v>707</v>
      </c>
      <c r="B743" s="10" t="s">
        <v>389</v>
      </c>
      <c r="C743" s="13" t="s">
        <v>153</v>
      </c>
      <c r="D743" s="7" t="s">
        <v>391</v>
      </c>
      <c r="E743" s="2" t="s">
        <v>1306</v>
      </c>
      <c r="F743" s="2" t="s">
        <v>3</v>
      </c>
      <c r="G743" s="31"/>
      <c r="I7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3" t="str">
        <f>IF(tb_zakazchik[[#This Row],[Столбец1]]&lt;&gt;"",SUM($I$2:I743),"")</f>
        <v/>
      </c>
      <c r="K743" t="str">
        <f>IF(tb_zakazchik[[#This Row],[Столбец1]]&lt;&gt;"",tb_baza[[#This Row],[Гос. номер]],"")</f>
        <v/>
      </c>
    </row>
    <row r="744" spans="1:11" x14ac:dyDescent="0.25">
      <c r="A744" s="17" t="s">
        <v>719</v>
      </c>
      <c r="B744" s="10" t="s">
        <v>389</v>
      </c>
      <c r="C744" s="13" t="s">
        <v>153</v>
      </c>
      <c r="D744" s="7" t="s">
        <v>391</v>
      </c>
      <c r="E744" s="2" t="s">
        <v>1306</v>
      </c>
      <c r="F744" s="2" t="s">
        <v>3</v>
      </c>
      <c r="G744" s="31"/>
      <c r="I7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4" t="str">
        <f>IF(tb_zakazchik[[#This Row],[Столбец1]]&lt;&gt;"",SUM($I$2:I744),"")</f>
        <v/>
      </c>
      <c r="K744" t="str">
        <f>IF(tb_zakazchik[[#This Row],[Столбец1]]&lt;&gt;"",tb_baza[[#This Row],[Гос. номер]],"")</f>
        <v/>
      </c>
    </row>
    <row r="745" spans="1:11" x14ac:dyDescent="0.25">
      <c r="A745" s="17" t="s">
        <v>870</v>
      </c>
      <c r="B745" s="10" t="s">
        <v>73</v>
      </c>
      <c r="C745" s="13" t="s">
        <v>153</v>
      </c>
      <c r="D745" s="7" t="s">
        <v>1280</v>
      </c>
      <c r="E745" s="2" t="s">
        <v>1306</v>
      </c>
      <c r="F745" s="2" t="s">
        <v>3</v>
      </c>
      <c r="G745" s="31"/>
      <c r="I7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5" t="str">
        <f>IF(tb_zakazchik[[#This Row],[Столбец1]]&lt;&gt;"",SUM($I$2:I745),"")</f>
        <v/>
      </c>
      <c r="K745" t="str">
        <f>IF(tb_zakazchik[[#This Row],[Столбец1]]&lt;&gt;"",tb_baza[[#This Row],[Гос. номер]],"")</f>
        <v/>
      </c>
    </row>
    <row r="746" spans="1:11" x14ac:dyDescent="0.25">
      <c r="A746" s="17" t="s">
        <v>128</v>
      </c>
      <c r="B746" s="10" t="s">
        <v>127</v>
      </c>
      <c r="C746" s="13" t="s">
        <v>153</v>
      </c>
      <c r="D746" s="7" t="s">
        <v>1280</v>
      </c>
      <c r="E746" s="2" t="s">
        <v>1307</v>
      </c>
      <c r="F746" s="2" t="s">
        <v>13</v>
      </c>
      <c r="G746" s="31"/>
      <c r="I7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6" t="str">
        <f>IF(tb_zakazchik[[#This Row],[Столбец1]]&lt;&gt;"",SUM($I$2:I746),"")</f>
        <v/>
      </c>
      <c r="K746" t="str">
        <f>IF(tb_zakazchik[[#This Row],[Столбец1]]&lt;&gt;"",tb_baza[[#This Row],[Гос. номер]],"")</f>
        <v/>
      </c>
    </row>
    <row r="747" spans="1:11" x14ac:dyDescent="0.25">
      <c r="A747" s="17" t="s">
        <v>74</v>
      </c>
      <c r="B747" s="10" t="s">
        <v>73</v>
      </c>
      <c r="C747" s="13" t="s">
        <v>153</v>
      </c>
      <c r="D747" s="7" t="s">
        <v>1280</v>
      </c>
      <c r="E747" s="2" t="s">
        <v>2</v>
      </c>
      <c r="F747" s="2" t="s">
        <v>3</v>
      </c>
      <c r="G747" s="31"/>
      <c r="I7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7" t="str">
        <f>IF(tb_zakazchik[[#This Row],[Столбец1]]&lt;&gt;"",SUM($I$2:I747),"")</f>
        <v/>
      </c>
      <c r="K747" t="str">
        <f>IF(tb_zakazchik[[#This Row],[Столбец1]]&lt;&gt;"",tb_baza[[#This Row],[Гос. номер]],"")</f>
        <v/>
      </c>
    </row>
    <row r="748" spans="1:11" x14ac:dyDescent="0.25">
      <c r="A748" s="17" t="s">
        <v>714</v>
      </c>
      <c r="B748" s="10" t="s">
        <v>713</v>
      </c>
      <c r="C748" s="13" t="s">
        <v>153</v>
      </c>
      <c r="D748" s="7" t="s">
        <v>715</v>
      </c>
      <c r="E748" s="2" t="s">
        <v>1306</v>
      </c>
      <c r="F748" s="2" t="s">
        <v>3</v>
      </c>
      <c r="G748" s="31"/>
      <c r="I7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8" t="str">
        <f>IF(tb_zakazchik[[#This Row],[Столбец1]]&lt;&gt;"",SUM($I$2:I748),"")</f>
        <v/>
      </c>
      <c r="K748" t="str">
        <f>IF(tb_zakazchik[[#This Row],[Столбец1]]&lt;&gt;"",tb_baza[[#This Row],[Гос. номер]],"")</f>
        <v/>
      </c>
    </row>
    <row r="749" spans="1:11" x14ac:dyDescent="0.25">
      <c r="A749" s="17" t="s">
        <v>467</v>
      </c>
      <c r="B749" s="10" t="s">
        <v>466</v>
      </c>
      <c r="C749" s="13" t="s">
        <v>153</v>
      </c>
      <c r="D749" s="7" t="s">
        <v>1265</v>
      </c>
      <c r="E749" s="2" t="s">
        <v>1306</v>
      </c>
      <c r="F749" s="2" t="s">
        <v>3</v>
      </c>
      <c r="G749" s="31"/>
      <c r="I7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49" t="str">
        <f>IF(tb_zakazchik[[#This Row],[Столбец1]]&lt;&gt;"",SUM($I$2:I749),"")</f>
        <v/>
      </c>
      <c r="K749" t="str">
        <f>IF(tb_zakazchik[[#This Row],[Столбец1]]&lt;&gt;"",tb_baza[[#This Row],[Гос. номер]],"")</f>
        <v/>
      </c>
    </row>
    <row r="750" spans="1:11" x14ac:dyDescent="0.25">
      <c r="A750" s="17" t="s">
        <v>471</v>
      </c>
      <c r="B750" s="10" t="s">
        <v>470</v>
      </c>
      <c r="C750" s="13" t="s">
        <v>153</v>
      </c>
      <c r="D750" s="7" t="s">
        <v>1265</v>
      </c>
      <c r="E750" s="2" t="s">
        <v>1306</v>
      </c>
      <c r="F750" s="2" t="s">
        <v>3</v>
      </c>
      <c r="G750" s="31"/>
      <c r="I7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0" t="str">
        <f>IF(tb_zakazchik[[#This Row],[Столбец1]]&lt;&gt;"",SUM($I$2:I750),"")</f>
        <v/>
      </c>
      <c r="K750" t="str">
        <f>IF(tb_zakazchik[[#This Row],[Столбец1]]&lt;&gt;"",tb_baza[[#This Row],[Гос. номер]],"")</f>
        <v/>
      </c>
    </row>
    <row r="751" spans="1:11" x14ac:dyDescent="0.25">
      <c r="A751" s="17" t="s">
        <v>821</v>
      </c>
      <c r="B751" s="10" t="s">
        <v>820</v>
      </c>
      <c r="C751" s="13" t="s">
        <v>153</v>
      </c>
      <c r="D751" s="7" t="s">
        <v>1265</v>
      </c>
      <c r="E751" s="2" t="s">
        <v>1306</v>
      </c>
      <c r="F751" s="2" t="s">
        <v>13</v>
      </c>
      <c r="G751" s="31"/>
      <c r="I7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1" t="str">
        <f>IF(tb_zakazchik[[#This Row],[Столбец1]]&lt;&gt;"",SUM($I$2:I751),"")</f>
        <v/>
      </c>
      <c r="K751" t="str">
        <f>IF(tb_zakazchik[[#This Row],[Столбец1]]&lt;&gt;"",tb_baza[[#This Row],[Гос. номер]],"")</f>
        <v/>
      </c>
    </row>
    <row r="752" spans="1:11" x14ac:dyDescent="0.25">
      <c r="A752" s="17" t="s">
        <v>62</v>
      </c>
      <c r="B752" s="10" t="s">
        <v>61</v>
      </c>
      <c r="C752" s="13" t="s">
        <v>153</v>
      </c>
      <c r="D752" s="7" t="s">
        <v>1265</v>
      </c>
      <c r="E752" s="2" t="s">
        <v>1306</v>
      </c>
      <c r="F752" s="2" t="s">
        <v>3</v>
      </c>
      <c r="G752" s="31"/>
      <c r="I7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2" t="str">
        <f>IF(tb_zakazchik[[#This Row],[Столбец1]]&lt;&gt;"",SUM($I$2:I752),"")</f>
        <v/>
      </c>
      <c r="K752" t="str">
        <f>IF(tb_zakazchik[[#This Row],[Столбец1]]&lt;&gt;"",tb_baza[[#This Row],[Гос. номер]],"")</f>
        <v/>
      </c>
    </row>
    <row r="753" spans="1:11" x14ac:dyDescent="0.25">
      <c r="A753" s="17" t="s">
        <v>266</v>
      </c>
      <c r="B753" s="10" t="s">
        <v>265</v>
      </c>
      <c r="C753" s="13" t="s">
        <v>153</v>
      </c>
      <c r="D753" s="7" t="s">
        <v>1265</v>
      </c>
      <c r="E753" s="2" t="s">
        <v>1306</v>
      </c>
      <c r="F753" s="2" t="s">
        <v>3</v>
      </c>
      <c r="G753" s="31"/>
      <c r="I7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3" t="str">
        <f>IF(tb_zakazchik[[#This Row],[Столбец1]]&lt;&gt;"",SUM($I$2:I753),"")</f>
        <v/>
      </c>
      <c r="K753" t="str">
        <f>IF(tb_zakazchik[[#This Row],[Столбец1]]&lt;&gt;"",tb_baza[[#This Row],[Гос. номер]],"")</f>
        <v/>
      </c>
    </row>
    <row r="754" spans="1:11" x14ac:dyDescent="0.25">
      <c r="A754" s="17" t="s">
        <v>8</v>
      </c>
      <c r="B754" s="10" t="s">
        <v>7</v>
      </c>
      <c r="C754" s="13" t="s">
        <v>153</v>
      </c>
      <c r="D754" s="7" t="s">
        <v>1265</v>
      </c>
      <c r="E754" s="2" t="s">
        <v>1306</v>
      </c>
      <c r="F754" s="2" t="s">
        <v>3</v>
      </c>
      <c r="G754" s="31"/>
      <c r="I7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4" t="str">
        <f>IF(tb_zakazchik[[#This Row],[Столбец1]]&lt;&gt;"",SUM($I$2:I754),"")</f>
        <v/>
      </c>
      <c r="K754" t="str">
        <f>IF(tb_zakazchik[[#This Row],[Столбец1]]&lt;&gt;"",tb_baza[[#This Row],[Гос. номер]],"")</f>
        <v/>
      </c>
    </row>
    <row r="755" spans="1:11" x14ac:dyDescent="0.25">
      <c r="A755" s="17" t="s">
        <v>938</v>
      </c>
      <c r="B755" s="10" t="s">
        <v>701</v>
      </c>
      <c r="C755" s="13" t="s">
        <v>153</v>
      </c>
      <c r="D755" s="7" t="s">
        <v>1265</v>
      </c>
      <c r="E755" s="2" t="s">
        <v>1306</v>
      </c>
      <c r="F755" s="3"/>
      <c r="G755" s="31"/>
      <c r="I7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5" t="str">
        <f>IF(tb_zakazchik[[#This Row],[Столбец1]]&lt;&gt;"",SUM($I$2:I755),"")</f>
        <v/>
      </c>
      <c r="K755" t="str">
        <f>IF(tb_zakazchik[[#This Row],[Столбец1]]&lt;&gt;"",tb_baza[[#This Row],[Гос. номер]],"")</f>
        <v/>
      </c>
    </row>
    <row r="756" spans="1:11" x14ac:dyDescent="0.25">
      <c r="A756" s="17" t="s">
        <v>702</v>
      </c>
      <c r="B756" s="10" t="s">
        <v>701</v>
      </c>
      <c r="C756" s="13" t="s">
        <v>153</v>
      </c>
      <c r="D756" s="7" t="s">
        <v>1265</v>
      </c>
      <c r="E756" s="2" t="s">
        <v>1307</v>
      </c>
      <c r="F756" s="2" t="s">
        <v>3</v>
      </c>
      <c r="G756" s="31"/>
      <c r="I7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6" t="str">
        <f>IF(tb_zakazchik[[#This Row],[Столбец1]]&lt;&gt;"",SUM($I$2:I756),"")</f>
        <v/>
      </c>
      <c r="K756" t="str">
        <f>IF(tb_zakazchik[[#This Row],[Столбец1]]&lt;&gt;"",tb_baza[[#This Row],[Гос. номер]],"")</f>
        <v/>
      </c>
    </row>
    <row r="757" spans="1:11" x14ac:dyDescent="0.25">
      <c r="A757" s="17" t="s">
        <v>150</v>
      </c>
      <c r="B757" s="10" t="s">
        <v>149</v>
      </c>
      <c r="C757" s="13" t="s">
        <v>153</v>
      </c>
      <c r="D757" s="7" t="s">
        <v>1286</v>
      </c>
      <c r="E757" s="2" t="s">
        <v>1306</v>
      </c>
      <c r="F757" s="2" t="s">
        <v>3</v>
      </c>
      <c r="G757" s="31"/>
      <c r="I7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7" t="str">
        <f>IF(tb_zakazchik[[#This Row],[Столбец1]]&lt;&gt;"",SUM($I$2:I757),"")</f>
        <v/>
      </c>
      <c r="K757" t="str">
        <f>IF(tb_zakazchik[[#This Row],[Столбец1]]&lt;&gt;"",tb_baza[[#This Row],[Гос. номер]],"")</f>
        <v/>
      </c>
    </row>
    <row r="758" spans="1:11" x14ac:dyDescent="0.25">
      <c r="A758" s="17" t="s">
        <v>976</v>
      </c>
      <c r="B758" s="10" t="s">
        <v>164</v>
      </c>
      <c r="C758" s="13" t="s">
        <v>153</v>
      </c>
      <c r="D758" s="7" t="s">
        <v>1286</v>
      </c>
      <c r="E758" s="2" t="s">
        <v>1306</v>
      </c>
      <c r="F758" s="2" t="s">
        <v>6</v>
      </c>
      <c r="G758" s="31"/>
      <c r="I7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8" t="str">
        <f>IF(tb_zakazchik[[#This Row],[Столбец1]]&lt;&gt;"",SUM($I$2:I758),"")</f>
        <v/>
      </c>
      <c r="K758" t="str">
        <f>IF(tb_zakazchik[[#This Row],[Столбец1]]&lt;&gt;"",tb_baza[[#This Row],[Гос. номер]],"")</f>
        <v/>
      </c>
    </row>
    <row r="759" spans="1:11" x14ac:dyDescent="0.25">
      <c r="A759" s="17" t="s">
        <v>165</v>
      </c>
      <c r="B759" s="10" t="s">
        <v>164</v>
      </c>
      <c r="C759" s="13" t="s">
        <v>153</v>
      </c>
      <c r="D759" s="7" t="s">
        <v>1286</v>
      </c>
      <c r="E759" s="2" t="s">
        <v>1307</v>
      </c>
      <c r="F759" s="2" t="s">
        <v>6</v>
      </c>
      <c r="G759" s="31"/>
      <c r="I7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59" t="str">
        <f>IF(tb_zakazchik[[#This Row],[Столбец1]]&lt;&gt;"",SUM($I$2:I759),"")</f>
        <v/>
      </c>
      <c r="K759" t="str">
        <f>IF(tb_zakazchik[[#This Row],[Столбец1]]&lt;&gt;"",tb_baza[[#This Row],[Гос. номер]],"")</f>
        <v/>
      </c>
    </row>
    <row r="760" spans="1:11" x14ac:dyDescent="0.25">
      <c r="A760" s="17" t="s">
        <v>361</v>
      </c>
      <c r="B760" s="10" t="s">
        <v>30</v>
      </c>
      <c r="C760" s="13" t="s">
        <v>153</v>
      </c>
      <c r="D760" s="7" t="s">
        <v>1284</v>
      </c>
      <c r="E760" s="2" t="s">
        <v>1306</v>
      </c>
      <c r="F760" s="2" t="s">
        <v>3</v>
      </c>
      <c r="G760" s="31"/>
      <c r="I7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0" t="str">
        <f>IF(tb_zakazchik[[#This Row],[Столбец1]]&lt;&gt;"",SUM($I$2:I760),"")</f>
        <v/>
      </c>
      <c r="K760" t="str">
        <f>IF(tb_zakazchik[[#This Row],[Столбец1]]&lt;&gt;"",tb_baza[[#This Row],[Гос. номер]],"")</f>
        <v/>
      </c>
    </row>
    <row r="761" spans="1:11" x14ac:dyDescent="0.25">
      <c r="A761" s="17" t="s">
        <v>698</v>
      </c>
      <c r="B761" s="10" t="s">
        <v>67</v>
      </c>
      <c r="C761" s="13" t="s">
        <v>153</v>
      </c>
      <c r="D761" s="7" t="s">
        <v>1298</v>
      </c>
      <c r="E761" s="2" t="s">
        <v>2</v>
      </c>
      <c r="F761" s="2" t="s">
        <v>3</v>
      </c>
      <c r="G761" s="31"/>
      <c r="I7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1" t="str">
        <f>IF(tb_zakazchik[[#This Row],[Столбец1]]&lt;&gt;"",SUM($I$2:I761),"")</f>
        <v/>
      </c>
      <c r="K761" t="str">
        <f>IF(tb_zakazchik[[#This Row],[Столбец1]]&lt;&gt;"",tb_baza[[#This Row],[Гос. номер]],"")</f>
        <v/>
      </c>
    </row>
    <row r="762" spans="1:11" x14ac:dyDescent="0.25">
      <c r="A762" s="17" t="s">
        <v>68</v>
      </c>
      <c r="B762" s="10" t="s">
        <v>67</v>
      </c>
      <c r="C762" s="13" t="s">
        <v>153</v>
      </c>
      <c r="D762" s="7" t="s">
        <v>1298</v>
      </c>
      <c r="E762" s="2" t="s">
        <v>2</v>
      </c>
      <c r="F762" s="2" t="s">
        <v>3</v>
      </c>
      <c r="G762" s="31"/>
      <c r="I7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2" t="str">
        <f>IF(tb_zakazchik[[#This Row],[Столбец1]]&lt;&gt;"",SUM($I$2:I762),"")</f>
        <v/>
      </c>
      <c r="K762" t="str">
        <f>IF(tb_zakazchik[[#This Row],[Столбец1]]&lt;&gt;"",tb_baza[[#This Row],[Гос. номер]],"")</f>
        <v/>
      </c>
    </row>
    <row r="763" spans="1:11" x14ac:dyDescent="0.25">
      <c r="A763" s="17" t="s">
        <v>649</v>
      </c>
      <c r="B763" s="10" t="s">
        <v>648</v>
      </c>
      <c r="C763" s="13" t="s">
        <v>153</v>
      </c>
      <c r="D763" s="7" t="s">
        <v>1298</v>
      </c>
      <c r="E763" s="2" t="s">
        <v>2</v>
      </c>
      <c r="F763" s="2" t="s">
        <v>3</v>
      </c>
      <c r="G763" s="31"/>
      <c r="I7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3" t="str">
        <f>IF(tb_zakazchik[[#This Row],[Столбец1]]&lt;&gt;"",SUM($I$2:I763),"")</f>
        <v/>
      </c>
      <c r="K763" t="str">
        <f>IF(tb_zakazchik[[#This Row],[Столбец1]]&lt;&gt;"",tb_baza[[#This Row],[Гос. номер]],"")</f>
        <v/>
      </c>
    </row>
    <row r="764" spans="1:11" x14ac:dyDescent="0.25">
      <c r="A764" s="17" t="s">
        <v>386</v>
      </c>
      <c r="B764" s="10" t="s">
        <v>317</v>
      </c>
      <c r="C764" s="13" t="s">
        <v>153</v>
      </c>
      <c r="D764" s="7" t="s">
        <v>1274</v>
      </c>
      <c r="E764" s="2" t="s">
        <v>1306</v>
      </c>
      <c r="F764" s="2" t="s">
        <v>3</v>
      </c>
      <c r="G764" s="31"/>
      <c r="I7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4" t="str">
        <f>IF(tb_zakazchik[[#This Row],[Столбец1]]&lt;&gt;"",SUM($I$2:I764),"")</f>
        <v/>
      </c>
      <c r="K764" t="str">
        <f>IF(tb_zakazchik[[#This Row],[Столбец1]]&lt;&gt;"",tb_baza[[#This Row],[Гос. номер]],"")</f>
        <v/>
      </c>
    </row>
    <row r="765" spans="1:11" x14ac:dyDescent="0.25">
      <c r="A765" s="17" t="s">
        <v>387</v>
      </c>
      <c r="B765" s="10" t="s">
        <v>317</v>
      </c>
      <c r="C765" s="13" t="s">
        <v>153</v>
      </c>
      <c r="D765" s="7" t="s">
        <v>1274</v>
      </c>
      <c r="E765" s="2" t="s">
        <v>1306</v>
      </c>
      <c r="F765" s="2" t="s">
        <v>3</v>
      </c>
      <c r="G765" s="31"/>
      <c r="I7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5" t="str">
        <f>IF(tb_zakazchik[[#This Row],[Столбец1]]&lt;&gt;"",SUM($I$2:I765),"")</f>
        <v/>
      </c>
      <c r="K765" t="str">
        <f>IF(tb_zakazchik[[#This Row],[Столбец1]]&lt;&gt;"",tb_baza[[#This Row],[Гос. номер]],"")</f>
        <v/>
      </c>
    </row>
    <row r="766" spans="1:11" x14ac:dyDescent="0.25">
      <c r="A766" s="17" t="s">
        <v>385</v>
      </c>
      <c r="B766" s="10" t="s">
        <v>317</v>
      </c>
      <c r="C766" s="13" t="s">
        <v>153</v>
      </c>
      <c r="D766" s="7" t="s">
        <v>1274</v>
      </c>
      <c r="E766" s="2" t="s">
        <v>1306</v>
      </c>
      <c r="F766" s="2" t="s">
        <v>3</v>
      </c>
      <c r="G766" s="31"/>
      <c r="I7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6" t="str">
        <f>IF(tb_zakazchik[[#This Row],[Столбец1]]&lt;&gt;"",SUM($I$2:I766),"")</f>
        <v/>
      </c>
      <c r="K766" t="str">
        <f>IF(tb_zakazchik[[#This Row],[Столбец1]]&lt;&gt;"",tb_baza[[#This Row],[Гос. номер]],"")</f>
        <v/>
      </c>
    </row>
    <row r="767" spans="1:11" x14ac:dyDescent="0.25">
      <c r="A767" s="17" t="s">
        <v>318</v>
      </c>
      <c r="B767" s="10" t="s">
        <v>317</v>
      </c>
      <c r="C767" s="13" t="s">
        <v>153</v>
      </c>
      <c r="D767" s="7" t="s">
        <v>1274</v>
      </c>
      <c r="E767" s="2" t="s">
        <v>1306</v>
      </c>
      <c r="F767" s="2" t="s">
        <v>3</v>
      </c>
      <c r="G767" s="31"/>
      <c r="I7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7" t="str">
        <f>IF(tb_zakazchik[[#This Row],[Столбец1]]&lt;&gt;"",SUM($I$2:I767),"")</f>
        <v/>
      </c>
      <c r="K767" t="str">
        <f>IF(tb_zakazchik[[#This Row],[Столбец1]]&lt;&gt;"",tb_baza[[#This Row],[Гос. номер]],"")</f>
        <v/>
      </c>
    </row>
    <row r="768" spans="1:11" x14ac:dyDescent="0.25">
      <c r="A768" s="17" t="s">
        <v>525</v>
      </c>
      <c r="B768" s="10" t="s">
        <v>123</v>
      </c>
      <c r="C768" s="13" t="s">
        <v>153</v>
      </c>
      <c r="D768" s="7" t="s">
        <v>1274</v>
      </c>
      <c r="E768" s="2" t="s">
        <v>1306</v>
      </c>
      <c r="F768" s="2" t="s">
        <v>13</v>
      </c>
      <c r="G768" s="31"/>
      <c r="I7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8" t="str">
        <f>IF(tb_zakazchik[[#This Row],[Столбец1]]&lt;&gt;"",SUM($I$2:I768),"")</f>
        <v/>
      </c>
      <c r="K768" t="str">
        <f>IF(tb_zakazchik[[#This Row],[Столбец1]]&lt;&gt;"",tb_baza[[#This Row],[Гос. номер]],"")</f>
        <v/>
      </c>
    </row>
    <row r="769" spans="1:11" x14ac:dyDescent="0.25">
      <c r="A769" s="17" t="s">
        <v>478</v>
      </c>
      <c r="B769" s="10" t="s">
        <v>123</v>
      </c>
      <c r="C769" s="13" t="s">
        <v>153</v>
      </c>
      <c r="D769" s="7" t="s">
        <v>1274</v>
      </c>
      <c r="E769" s="2" t="s">
        <v>1306</v>
      </c>
      <c r="F769" s="2" t="s">
        <v>3</v>
      </c>
      <c r="G769" s="31"/>
      <c r="I7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69" t="str">
        <f>IF(tb_zakazchik[[#This Row],[Столбец1]]&lt;&gt;"",SUM($I$2:I769),"")</f>
        <v/>
      </c>
      <c r="K769" t="str">
        <f>IF(tb_zakazchik[[#This Row],[Столбец1]]&lt;&gt;"",tb_baza[[#This Row],[Гос. номер]],"")</f>
        <v/>
      </c>
    </row>
    <row r="770" spans="1:11" x14ac:dyDescent="0.25">
      <c r="A770" s="17" t="s">
        <v>957</v>
      </c>
      <c r="B770" s="10" t="s">
        <v>86</v>
      </c>
      <c r="C770" s="13" t="s">
        <v>153</v>
      </c>
      <c r="D770" s="7" t="s">
        <v>1274</v>
      </c>
      <c r="E770" s="2" t="s">
        <v>1306</v>
      </c>
      <c r="F770" s="2" t="s">
        <v>13</v>
      </c>
      <c r="G770" s="31"/>
      <c r="I7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0" t="str">
        <f>IF(tb_zakazchik[[#This Row],[Столбец1]]&lt;&gt;"",SUM($I$2:I770),"")</f>
        <v/>
      </c>
      <c r="K770" t="str">
        <f>IF(tb_zakazchik[[#This Row],[Столбец1]]&lt;&gt;"",tb_baza[[#This Row],[Гос. номер]],"")</f>
        <v/>
      </c>
    </row>
    <row r="771" spans="1:11" x14ac:dyDescent="0.25">
      <c r="A771" s="17" t="s">
        <v>294</v>
      </c>
      <c r="B771" s="10" t="s">
        <v>293</v>
      </c>
      <c r="C771" s="13" t="s">
        <v>153</v>
      </c>
      <c r="D771" s="7" t="s">
        <v>1274</v>
      </c>
      <c r="E771" s="2" t="s">
        <v>1306</v>
      </c>
      <c r="F771" s="2" t="s">
        <v>13</v>
      </c>
      <c r="G771" s="31"/>
      <c r="I7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1" t="str">
        <f>IF(tb_zakazchik[[#This Row],[Столбец1]]&lt;&gt;"",SUM($I$2:I771),"")</f>
        <v/>
      </c>
      <c r="K771" t="str">
        <f>IF(tb_zakazchik[[#This Row],[Столбец1]]&lt;&gt;"",tb_baza[[#This Row],[Гос. номер]],"")</f>
        <v/>
      </c>
    </row>
    <row r="772" spans="1:11" x14ac:dyDescent="0.25">
      <c r="A772" s="17" t="s">
        <v>748</v>
      </c>
      <c r="B772" s="10" t="s">
        <v>293</v>
      </c>
      <c r="C772" s="13" t="s">
        <v>153</v>
      </c>
      <c r="D772" s="7" t="s">
        <v>1274</v>
      </c>
      <c r="E772" s="2" t="s">
        <v>1306</v>
      </c>
      <c r="F772" s="2" t="s">
        <v>13</v>
      </c>
      <c r="G772" s="31"/>
      <c r="I7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2" t="str">
        <f>IF(tb_zakazchik[[#This Row],[Столбец1]]&lt;&gt;"",SUM($I$2:I772),"")</f>
        <v/>
      </c>
      <c r="K772" t="str">
        <f>IF(tb_zakazchik[[#This Row],[Столбец1]]&lt;&gt;"",tb_baza[[#This Row],[Гос. номер]],"")</f>
        <v/>
      </c>
    </row>
    <row r="773" spans="1:11" x14ac:dyDescent="0.25">
      <c r="A773" s="17" t="s">
        <v>311</v>
      </c>
      <c r="B773" s="10" t="s">
        <v>51</v>
      </c>
      <c r="C773" s="13" t="s">
        <v>153</v>
      </c>
      <c r="D773" s="7" t="s">
        <v>1274</v>
      </c>
      <c r="E773" s="2" t="s">
        <v>1306</v>
      </c>
      <c r="F773" s="2" t="s">
        <v>3</v>
      </c>
      <c r="G773" s="31"/>
      <c r="I7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3" t="str">
        <f>IF(tb_zakazchik[[#This Row],[Столбец1]]&lt;&gt;"",SUM($I$2:I773),"")</f>
        <v/>
      </c>
      <c r="K773" t="str">
        <f>IF(tb_zakazchik[[#This Row],[Столбец1]]&lt;&gt;"",tb_baza[[#This Row],[Гос. номер]],"")</f>
        <v/>
      </c>
    </row>
    <row r="774" spans="1:11" x14ac:dyDescent="0.25">
      <c r="A774" s="17" t="s">
        <v>637</v>
      </c>
      <c r="B774" s="10" t="s">
        <v>51</v>
      </c>
      <c r="C774" s="13" t="s">
        <v>153</v>
      </c>
      <c r="D774" s="7" t="s">
        <v>1274</v>
      </c>
      <c r="E774" s="2" t="s">
        <v>1306</v>
      </c>
      <c r="F774" s="2" t="s">
        <v>3</v>
      </c>
      <c r="G774" s="31"/>
      <c r="I7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4" t="str">
        <f>IF(tb_zakazchik[[#This Row],[Столбец1]]&lt;&gt;"",SUM($I$2:I774),"")</f>
        <v/>
      </c>
      <c r="K774" t="str">
        <f>IF(tb_zakazchik[[#This Row],[Столбец1]]&lt;&gt;"",tb_baza[[#This Row],[Гос. номер]],"")</f>
        <v/>
      </c>
    </row>
    <row r="775" spans="1:11" x14ac:dyDescent="0.25">
      <c r="A775" s="17" t="s">
        <v>971</v>
      </c>
      <c r="B775" s="10" t="s">
        <v>51</v>
      </c>
      <c r="C775" s="13" t="s">
        <v>153</v>
      </c>
      <c r="D775" s="7" t="s">
        <v>1274</v>
      </c>
      <c r="E775" s="2" t="s">
        <v>1306</v>
      </c>
      <c r="F775" s="2" t="s">
        <v>3</v>
      </c>
      <c r="G775" s="31"/>
      <c r="I7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5" t="str">
        <f>IF(tb_zakazchik[[#This Row],[Столбец1]]&lt;&gt;"",SUM($I$2:I775),"")</f>
        <v/>
      </c>
      <c r="K775" t="str">
        <f>IF(tb_zakazchik[[#This Row],[Столбец1]]&lt;&gt;"",tb_baza[[#This Row],[Гос. номер]],"")</f>
        <v/>
      </c>
    </row>
    <row r="776" spans="1:11" x14ac:dyDescent="0.25">
      <c r="A776" s="17" t="s">
        <v>589</v>
      </c>
      <c r="B776" s="10" t="s">
        <v>51</v>
      </c>
      <c r="C776" s="13" t="s">
        <v>153</v>
      </c>
      <c r="D776" s="7" t="s">
        <v>1274</v>
      </c>
      <c r="E776" s="2" t="s">
        <v>1306</v>
      </c>
      <c r="F776" s="2" t="s">
        <v>3</v>
      </c>
      <c r="G776" s="31"/>
      <c r="I7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6" t="str">
        <f>IF(tb_zakazchik[[#This Row],[Столбец1]]&lt;&gt;"",SUM($I$2:I776),"")</f>
        <v/>
      </c>
      <c r="K776" t="str">
        <f>IF(tb_zakazchik[[#This Row],[Столбец1]]&lt;&gt;"",tb_baza[[#This Row],[Гос. номер]],"")</f>
        <v/>
      </c>
    </row>
    <row r="777" spans="1:11" x14ac:dyDescent="0.25">
      <c r="A777" s="17" t="s">
        <v>464</v>
      </c>
      <c r="B777" s="10" t="s">
        <v>293</v>
      </c>
      <c r="C777" s="13" t="s">
        <v>153</v>
      </c>
      <c r="D777" s="7" t="s">
        <v>1274</v>
      </c>
      <c r="E777" s="2" t="s">
        <v>1306</v>
      </c>
      <c r="F777" s="2" t="s">
        <v>13</v>
      </c>
      <c r="G777" s="31"/>
      <c r="I7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7" t="str">
        <f>IF(tb_zakazchik[[#This Row],[Столбец1]]&lt;&gt;"",SUM($I$2:I777),"")</f>
        <v/>
      </c>
      <c r="K777" t="str">
        <f>IF(tb_zakazchik[[#This Row],[Столбец1]]&lt;&gt;"",tb_baza[[#This Row],[Гос. номер]],"")</f>
        <v/>
      </c>
    </row>
    <row r="778" spans="1:11" x14ac:dyDescent="0.25">
      <c r="A778" s="17" t="s">
        <v>504</v>
      </c>
      <c r="B778" s="10" t="s">
        <v>86</v>
      </c>
      <c r="C778" s="13" t="s">
        <v>153</v>
      </c>
      <c r="D778" s="7" t="s">
        <v>1274</v>
      </c>
      <c r="E778" s="2" t="s">
        <v>1306</v>
      </c>
      <c r="F778" s="2" t="s">
        <v>13</v>
      </c>
      <c r="G778" s="31"/>
      <c r="I7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8" t="str">
        <f>IF(tb_zakazchik[[#This Row],[Столбец1]]&lt;&gt;"",SUM($I$2:I778),"")</f>
        <v/>
      </c>
      <c r="K778" t="str">
        <f>IF(tb_zakazchik[[#This Row],[Столбец1]]&lt;&gt;"",tb_baza[[#This Row],[Гос. номер]],"")</f>
        <v/>
      </c>
    </row>
    <row r="779" spans="1:11" x14ac:dyDescent="0.25">
      <c r="A779" s="17" t="s">
        <v>221</v>
      </c>
      <c r="B779" s="10" t="s">
        <v>220</v>
      </c>
      <c r="C779" s="13" t="s">
        <v>153</v>
      </c>
      <c r="D779" s="7" t="s">
        <v>1274</v>
      </c>
      <c r="E779" s="2" t="s">
        <v>1306</v>
      </c>
      <c r="F779" s="2" t="s">
        <v>3</v>
      </c>
      <c r="G779" s="31"/>
      <c r="I7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79" t="str">
        <f>IF(tb_zakazchik[[#This Row],[Столбец1]]&lt;&gt;"",SUM($I$2:I779),"")</f>
        <v/>
      </c>
      <c r="K779" t="str">
        <f>IF(tb_zakazchik[[#This Row],[Столбец1]]&lt;&gt;"",tb_baza[[#This Row],[Гос. номер]],"")</f>
        <v/>
      </c>
    </row>
    <row r="780" spans="1:11" x14ac:dyDescent="0.25">
      <c r="A780" s="17" t="s">
        <v>1084</v>
      </c>
      <c r="B780" s="10" t="s">
        <v>220</v>
      </c>
      <c r="C780" s="13" t="s">
        <v>153</v>
      </c>
      <c r="D780" s="7" t="s">
        <v>1274</v>
      </c>
      <c r="E780" s="2" t="s">
        <v>1306</v>
      </c>
      <c r="F780" s="2" t="s">
        <v>3</v>
      </c>
      <c r="G780" s="31"/>
      <c r="I7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0" t="str">
        <f>IF(tb_zakazchik[[#This Row],[Столбец1]]&lt;&gt;"",SUM($I$2:I780),"")</f>
        <v/>
      </c>
      <c r="K780" t="str">
        <f>IF(tb_zakazchik[[#This Row],[Столбец1]]&lt;&gt;"",tb_baza[[#This Row],[Гос. номер]],"")</f>
        <v/>
      </c>
    </row>
    <row r="781" spans="1:11" x14ac:dyDescent="0.25">
      <c r="A781" s="17" t="s">
        <v>316</v>
      </c>
      <c r="B781" s="10" t="s">
        <v>220</v>
      </c>
      <c r="C781" s="13" t="s">
        <v>153</v>
      </c>
      <c r="D781" s="7" t="s">
        <v>1274</v>
      </c>
      <c r="E781" s="2" t="s">
        <v>1306</v>
      </c>
      <c r="F781" s="2" t="s">
        <v>3</v>
      </c>
      <c r="G781" s="31"/>
      <c r="I7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1" t="str">
        <f>IF(tb_zakazchik[[#This Row],[Столбец1]]&lt;&gt;"",SUM($I$2:I781),"")</f>
        <v/>
      </c>
      <c r="K781" t="str">
        <f>IF(tb_zakazchik[[#This Row],[Столбец1]]&lt;&gt;"",tb_baza[[#This Row],[Гос. номер]],"")</f>
        <v/>
      </c>
    </row>
    <row r="782" spans="1:11" x14ac:dyDescent="0.25">
      <c r="A782" s="17" t="s">
        <v>463</v>
      </c>
      <c r="B782" s="10" t="s">
        <v>293</v>
      </c>
      <c r="C782" s="13" t="s">
        <v>153</v>
      </c>
      <c r="D782" s="7" t="s">
        <v>1274</v>
      </c>
      <c r="E782" s="2" t="s">
        <v>1306</v>
      </c>
      <c r="F782" s="2" t="s">
        <v>13</v>
      </c>
      <c r="G782" s="31"/>
      <c r="I7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2" t="str">
        <f>IF(tb_zakazchik[[#This Row],[Столбец1]]&lt;&gt;"",SUM($I$2:I782),"")</f>
        <v/>
      </c>
      <c r="K782" t="str">
        <f>IF(tb_zakazchik[[#This Row],[Столбец1]]&lt;&gt;"",tb_baza[[#This Row],[Гос. номер]],"")</f>
        <v/>
      </c>
    </row>
    <row r="783" spans="1:11" x14ac:dyDescent="0.25">
      <c r="A783" s="17" t="s">
        <v>87</v>
      </c>
      <c r="B783" s="10" t="s">
        <v>86</v>
      </c>
      <c r="C783" s="13" t="s">
        <v>153</v>
      </c>
      <c r="D783" s="7" t="s">
        <v>1274</v>
      </c>
      <c r="E783" s="2" t="s">
        <v>1306</v>
      </c>
      <c r="F783" s="2" t="s">
        <v>13</v>
      </c>
      <c r="G783" s="31"/>
      <c r="I7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3" t="str">
        <f>IF(tb_zakazchik[[#This Row],[Столбец1]]&lt;&gt;"",SUM($I$2:I783),"")</f>
        <v/>
      </c>
      <c r="K783" t="str">
        <f>IF(tb_zakazchik[[#This Row],[Столбец1]]&lt;&gt;"",tb_baza[[#This Row],[Гос. номер]],"")</f>
        <v/>
      </c>
    </row>
    <row r="784" spans="1:11" x14ac:dyDescent="0.25">
      <c r="A784" s="17" t="s">
        <v>644</v>
      </c>
      <c r="B784" s="10" t="s">
        <v>51</v>
      </c>
      <c r="C784" s="13" t="s">
        <v>153</v>
      </c>
      <c r="D784" s="7" t="s">
        <v>1274</v>
      </c>
      <c r="E784" s="2" t="s">
        <v>1306</v>
      </c>
      <c r="F784" s="2" t="s">
        <v>3</v>
      </c>
      <c r="G784" s="31"/>
      <c r="I7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4" t="str">
        <f>IF(tb_zakazchik[[#This Row],[Столбец1]]&lt;&gt;"",SUM($I$2:I784),"")</f>
        <v/>
      </c>
      <c r="K784" t="str">
        <f>IF(tb_zakazchik[[#This Row],[Столбец1]]&lt;&gt;"",tb_baza[[#This Row],[Гос. номер]],"")</f>
        <v/>
      </c>
    </row>
    <row r="785" spans="1:11" x14ac:dyDescent="0.25">
      <c r="A785" s="17" t="s">
        <v>646</v>
      </c>
      <c r="B785" s="10" t="s">
        <v>51</v>
      </c>
      <c r="C785" s="13" t="s">
        <v>153</v>
      </c>
      <c r="D785" s="7" t="s">
        <v>1274</v>
      </c>
      <c r="E785" s="2" t="s">
        <v>1306</v>
      </c>
      <c r="F785" s="2" t="s">
        <v>13</v>
      </c>
      <c r="G785" s="31"/>
      <c r="I7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5" t="str">
        <f>IF(tb_zakazchik[[#This Row],[Столбец1]]&lt;&gt;"",SUM($I$2:I785),"")</f>
        <v/>
      </c>
      <c r="K785" t="str">
        <f>IF(tb_zakazchik[[#This Row],[Столбец1]]&lt;&gt;"",tb_baza[[#This Row],[Гос. номер]],"")</f>
        <v/>
      </c>
    </row>
    <row r="786" spans="1:11" x14ac:dyDescent="0.25">
      <c r="A786" s="17" t="s">
        <v>645</v>
      </c>
      <c r="B786" s="10" t="s">
        <v>51</v>
      </c>
      <c r="C786" s="13" t="s">
        <v>153</v>
      </c>
      <c r="D786" s="7" t="s">
        <v>1274</v>
      </c>
      <c r="E786" s="2" t="s">
        <v>1306</v>
      </c>
      <c r="F786" s="2" t="s">
        <v>3</v>
      </c>
      <c r="G786" s="31"/>
      <c r="I7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6" t="str">
        <f>IF(tb_zakazchik[[#This Row],[Столбец1]]&lt;&gt;"",SUM($I$2:I786),"")</f>
        <v/>
      </c>
      <c r="K786" t="str">
        <f>IF(tb_zakazchik[[#This Row],[Столбец1]]&lt;&gt;"",tb_baza[[#This Row],[Гос. номер]],"")</f>
        <v/>
      </c>
    </row>
    <row r="787" spans="1:11" x14ac:dyDescent="0.25">
      <c r="A787" s="17" t="s">
        <v>818</v>
      </c>
      <c r="B787" s="10" t="s">
        <v>51</v>
      </c>
      <c r="C787" s="13" t="s">
        <v>153</v>
      </c>
      <c r="D787" s="7" t="s">
        <v>1274</v>
      </c>
      <c r="E787" s="2" t="s">
        <v>1306</v>
      </c>
      <c r="F787" s="2" t="s">
        <v>3</v>
      </c>
      <c r="G787" s="31"/>
      <c r="I7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7" t="str">
        <f>IF(tb_zakazchik[[#This Row],[Столбец1]]&lt;&gt;"",SUM($I$2:I787),"")</f>
        <v/>
      </c>
      <c r="K787" t="str">
        <f>IF(tb_zakazchik[[#This Row],[Столбец1]]&lt;&gt;"",tb_baza[[#This Row],[Гос. номер]],"")</f>
        <v/>
      </c>
    </row>
    <row r="788" spans="1:11" x14ac:dyDescent="0.25">
      <c r="A788" s="17" t="s">
        <v>647</v>
      </c>
      <c r="B788" s="10" t="s">
        <v>51</v>
      </c>
      <c r="C788" s="13" t="s">
        <v>153</v>
      </c>
      <c r="D788" s="7" t="s">
        <v>1274</v>
      </c>
      <c r="E788" s="2" t="s">
        <v>1306</v>
      </c>
      <c r="F788" s="2" t="s">
        <v>3</v>
      </c>
      <c r="G788" s="31"/>
      <c r="I7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8" t="str">
        <f>IF(tb_zakazchik[[#This Row],[Столбец1]]&lt;&gt;"",SUM($I$2:I788),"")</f>
        <v/>
      </c>
      <c r="K788" t="str">
        <f>IF(tb_zakazchik[[#This Row],[Столбец1]]&lt;&gt;"",tb_baza[[#This Row],[Гос. номер]],"")</f>
        <v/>
      </c>
    </row>
    <row r="789" spans="1:11" x14ac:dyDescent="0.25">
      <c r="A789" s="17" t="s">
        <v>533</v>
      </c>
      <c r="B789" s="10" t="s">
        <v>123</v>
      </c>
      <c r="C789" s="13" t="s">
        <v>153</v>
      </c>
      <c r="D789" s="7" t="s">
        <v>1274</v>
      </c>
      <c r="E789" s="2" t="s">
        <v>1306</v>
      </c>
      <c r="F789" s="2" t="s">
        <v>13</v>
      </c>
      <c r="G789" s="31"/>
      <c r="I7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89" t="str">
        <f>IF(tb_zakazchik[[#This Row],[Столбец1]]&lt;&gt;"",SUM($I$2:I789),"")</f>
        <v/>
      </c>
      <c r="K789" t="str">
        <f>IF(tb_zakazchik[[#This Row],[Столбец1]]&lt;&gt;"",tb_baza[[#This Row],[Гос. номер]],"")</f>
        <v/>
      </c>
    </row>
    <row r="790" spans="1:11" x14ac:dyDescent="0.25">
      <c r="A790" s="17" t="s">
        <v>530</v>
      </c>
      <c r="B790" s="10" t="s">
        <v>123</v>
      </c>
      <c r="C790" s="13" t="s">
        <v>153</v>
      </c>
      <c r="D790" s="7" t="s">
        <v>1274</v>
      </c>
      <c r="E790" s="2" t="s">
        <v>1306</v>
      </c>
      <c r="F790" s="2" t="s">
        <v>13</v>
      </c>
      <c r="G790" s="31"/>
      <c r="I7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0" t="str">
        <f>IF(tb_zakazchik[[#This Row],[Столбец1]]&lt;&gt;"",SUM($I$2:I790),"")</f>
        <v/>
      </c>
      <c r="K790" t="str">
        <f>IF(tb_zakazchik[[#This Row],[Столбец1]]&lt;&gt;"",tb_baza[[#This Row],[Гос. номер]],"")</f>
        <v/>
      </c>
    </row>
    <row r="791" spans="1:11" x14ac:dyDescent="0.25">
      <c r="A791" s="17" t="s">
        <v>555</v>
      </c>
      <c r="B791" s="10" t="s">
        <v>123</v>
      </c>
      <c r="C791" s="13" t="s">
        <v>153</v>
      </c>
      <c r="D791" s="7" t="s">
        <v>1274</v>
      </c>
      <c r="E791" s="2" t="s">
        <v>1306</v>
      </c>
      <c r="F791" s="2" t="s">
        <v>3</v>
      </c>
      <c r="G791" s="31"/>
      <c r="I7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1" t="str">
        <f>IF(tb_zakazchik[[#This Row],[Столбец1]]&lt;&gt;"",SUM($I$2:I791),"")</f>
        <v/>
      </c>
      <c r="K791" t="str">
        <f>IF(tb_zakazchik[[#This Row],[Столбец1]]&lt;&gt;"",tb_baza[[#This Row],[Гос. номер]],"")</f>
        <v/>
      </c>
    </row>
    <row r="792" spans="1:11" x14ac:dyDescent="0.25">
      <c r="A792" s="17" t="s">
        <v>771</v>
      </c>
      <c r="B792" s="10" t="s">
        <v>123</v>
      </c>
      <c r="C792" s="13" t="s">
        <v>153</v>
      </c>
      <c r="D792" s="7" t="s">
        <v>1274</v>
      </c>
      <c r="E792" s="2" t="s">
        <v>1306</v>
      </c>
      <c r="F792" s="2" t="s">
        <v>13</v>
      </c>
      <c r="G792" s="31"/>
      <c r="I7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2" t="str">
        <f>IF(tb_zakazchik[[#This Row],[Столбец1]]&lt;&gt;"",SUM($I$2:I792),"")</f>
        <v/>
      </c>
      <c r="K792" t="str">
        <f>IF(tb_zakazchik[[#This Row],[Столбец1]]&lt;&gt;"",tb_baza[[#This Row],[Гос. номер]],"")</f>
        <v/>
      </c>
    </row>
    <row r="793" spans="1:11" x14ac:dyDescent="0.25">
      <c r="A793" s="17" t="s">
        <v>183</v>
      </c>
      <c r="B793" s="10" t="s">
        <v>123</v>
      </c>
      <c r="C793" s="13" t="s">
        <v>153</v>
      </c>
      <c r="D793" s="7" t="s">
        <v>1274</v>
      </c>
      <c r="E793" s="2" t="s">
        <v>1306</v>
      </c>
      <c r="F793" s="2" t="s">
        <v>13</v>
      </c>
      <c r="G793" s="31"/>
      <c r="I7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3" t="str">
        <f>IF(tb_zakazchik[[#This Row],[Столбец1]]&lt;&gt;"",SUM($I$2:I793),"")</f>
        <v/>
      </c>
      <c r="K793" t="str">
        <f>IF(tb_zakazchik[[#This Row],[Столбец1]]&lt;&gt;"",tb_baza[[#This Row],[Гос. номер]],"")</f>
        <v/>
      </c>
    </row>
    <row r="794" spans="1:11" x14ac:dyDescent="0.25">
      <c r="A794" s="17" t="s">
        <v>651</v>
      </c>
      <c r="B794" s="10" t="s">
        <v>51</v>
      </c>
      <c r="C794" s="13" t="s">
        <v>153</v>
      </c>
      <c r="D794" s="7" t="s">
        <v>1274</v>
      </c>
      <c r="E794" s="2" t="s">
        <v>1306</v>
      </c>
      <c r="F794" s="2" t="s">
        <v>3</v>
      </c>
      <c r="G794" s="31"/>
      <c r="I7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4" t="str">
        <f>IF(tb_zakazchik[[#This Row],[Столбец1]]&lt;&gt;"",SUM($I$2:I794),"")</f>
        <v/>
      </c>
      <c r="K794" t="str">
        <f>IF(tb_zakazchik[[#This Row],[Столбец1]]&lt;&gt;"",tb_baza[[#This Row],[Гос. номер]],"")</f>
        <v/>
      </c>
    </row>
    <row r="795" spans="1:11" x14ac:dyDescent="0.25">
      <c r="A795" s="17" t="s">
        <v>764</v>
      </c>
      <c r="B795" s="10" t="s">
        <v>51</v>
      </c>
      <c r="C795" s="13" t="s">
        <v>153</v>
      </c>
      <c r="D795" s="7" t="s">
        <v>1274</v>
      </c>
      <c r="E795" s="2" t="s">
        <v>1306</v>
      </c>
      <c r="F795" s="2" t="s">
        <v>3</v>
      </c>
      <c r="G795" s="31"/>
      <c r="I7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5" t="str">
        <f>IF(tb_zakazchik[[#This Row],[Столбец1]]&lt;&gt;"",SUM($I$2:I795),"")</f>
        <v/>
      </c>
      <c r="K795" t="str">
        <f>IF(tb_zakazchik[[#This Row],[Столбец1]]&lt;&gt;"",tb_baza[[#This Row],[Гос. номер]],"")</f>
        <v/>
      </c>
    </row>
    <row r="796" spans="1:11" x14ac:dyDescent="0.25">
      <c r="A796" s="17" t="s">
        <v>551</v>
      </c>
      <c r="B796" s="10" t="s">
        <v>123</v>
      </c>
      <c r="C796" s="13" t="s">
        <v>153</v>
      </c>
      <c r="D796" s="7" t="s">
        <v>1274</v>
      </c>
      <c r="E796" s="2" t="s">
        <v>1306</v>
      </c>
      <c r="F796" s="2" t="s">
        <v>3</v>
      </c>
      <c r="G796" s="31"/>
      <c r="I7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6" t="str">
        <f>IF(tb_zakazchik[[#This Row],[Столбец1]]&lt;&gt;"",SUM($I$2:I796),"")</f>
        <v/>
      </c>
      <c r="K796" t="str">
        <f>IF(tb_zakazchik[[#This Row],[Столбец1]]&lt;&gt;"",tb_baza[[#This Row],[Гос. номер]],"")</f>
        <v/>
      </c>
    </row>
    <row r="797" spans="1:11" x14ac:dyDescent="0.25">
      <c r="A797" s="17" t="s">
        <v>927</v>
      </c>
      <c r="B797" s="10" t="s">
        <v>121</v>
      </c>
      <c r="C797" s="13" t="s">
        <v>153</v>
      </c>
      <c r="D797" s="7" t="s">
        <v>1274</v>
      </c>
      <c r="E797" s="2" t="s">
        <v>1306</v>
      </c>
      <c r="F797" s="2" t="s">
        <v>13</v>
      </c>
      <c r="G797" s="31"/>
      <c r="I7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7" t="str">
        <f>IF(tb_zakazchik[[#This Row],[Столбец1]]&lt;&gt;"",SUM($I$2:I797),"")</f>
        <v/>
      </c>
      <c r="K797" t="str">
        <f>IF(tb_zakazchik[[#This Row],[Столбец1]]&lt;&gt;"",tb_baza[[#This Row],[Гос. номер]],"")</f>
        <v/>
      </c>
    </row>
    <row r="798" spans="1:11" x14ac:dyDescent="0.25">
      <c r="A798" s="17" t="s">
        <v>912</v>
      </c>
      <c r="B798" s="10" t="s">
        <v>121</v>
      </c>
      <c r="C798" s="13" t="s">
        <v>153</v>
      </c>
      <c r="D798" s="7" t="s">
        <v>1274</v>
      </c>
      <c r="E798" s="2" t="s">
        <v>1306</v>
      </c>
      <c r="F798" s="2" t="s">
        <v>6</v>
      </c>
      <c r="G798" s="31"/>
      <c r="I7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8" t="str">
        <f>IF(tb_zakazchik[[#This Row],[Столбец1]]&lt;&gt;"",SUM($I$2:I798),"")</f>
        <v/>
      </c>
      <c r="K798" t="str">
        <f>IF(tb_zakazchik[[#This Row],[Столбец1]]&lt;&gt;"",tb_baza[[#This Row],[Гос. номер]],"")</f>
        <v/>
      </c>
    </row>
    <row r="799" spans="1:11" x14ac:dyDescent="0.25">
      <c r="A799" s="17" t="s">
        <v>1022</v>
      </c>
      <c r="B799" s="10" t="s">
        <v>172</v>
      </c>
      <c r="C799" s="13" t="s">
        <v>153</v>
      </c>
      <c r="D799" s="7" t="s">
        <v>1274</v>
      </c>
      <c r="E799" s="2" t="s">
        <v>1306</v>
      </c>
      <c r="F799" s="2" t="s">
        <v>3</v>
      </c>
      <c r="G799" s="31"/>
      <c r="I7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799" t="str">
        <f>IF(tb_zakazchik[[#This Row],[Столбец1]]&lt;&gt;"",SUM($I$2:I799),"")</f>
        <v/>
      </c>
      <c r="K799" t="str">
        <f>IF(tb_zakazchik[[#This Row],[Столбец1]]&lt;&gt;"",tb_baza[[#This Row],[Гос. номер]],"")</f>
        <v/>
      </c>
    </row>
    <row r="800" spans="1:11" x14ac:dyDescent="0.25">
      <c r="A800" s="17" t="s">
        <v>1023</v>
      </c>
      <c r="B800" s="10" t="s">
        <v>172</v>
      </c>
      <c r="C800" s="13" t="s">
        <v>153</v>
      </c>
      <c r="D800" s="7" t="s">
        <v>1274</v>
      </c>
      <c r="E800" s="2" t="s">
        <v>1306</v>
      </c>
      <c r="F800" s="2" t="s">
        <v>13</v>
      </c>
      <c r="G800" s="31"/>
      <c r="I8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0" t="str">
        <f>IF(tb_zakazchik[[#This Row],[Столбец1]]&lt;&gt;"",SUM($I$2:I800),"")</f>
        <v/>
      </c>
      <c r="K800" t="str">
        <f>IF(tb_zakazchik[[#This Row],[Столбец1]]&lt;&gt;"",tb_baza[[#This Row],[Гос. номер]],"")</f>
        <v/>
      </c>
    </row>
    <row r="801" spans="1:11" x14ac:dyDescent="0.25">
      <c r="A801" s="17" t="s">
        <v>1024</v>
      </c>
      <c r="B801" s="10" t="s">
        <v>172</v>
      </c>
      <c r="C801" s="13" t="s">
        <v>153</v>
      </c>
      <c r="D801" s="7" t="s">
        <v>1274</v>
      </c>
      <c r="E801" s="2" t="s">
        <v>1306</v>
      </c>
      <c r="F801" s="2" t="s">
        <v>13</v>
      </c>
      <c r="G801" s="31"/>
      <c r="I8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1" t="str">
        <f>IF(tb_zakazchik[[#This Row],[Столбец1]]&lt;&gt;"",SUM($I$2:I801),"")</f>
        <v/>
      </c>
      <c r="K801" t="str">
        <f>IF(tb_zakazchik[[#This Row],[Столбец1]]&lt;&gt;"",tb_baza[[#This Row],[Гос. номер]],"")</f>
        <v/>
      </c>
    </row>
    <row r="802" spans="1:11" x14ac:dyDescent="0.25">
      <c r="A802" s="17" t="s">
        <v>173</v>
      </c>
      <c r="B802" s="10" t="s">
        <v>172</v>
      </c>
      <c r="C802" s="13" t="s">
        <v>153</v>
      </c>
      <c r="D802" s="7" t="s">
        <v>1274</v>
      </c>
      <c r="E802" s="2" t="s">
        <v>1306</v>
      </c>
      <c r="F802" s="2" t="s">
        <v>3</v>
      </c>
      <c r="G802" s="31"/>
      <c r="I8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2" t="str">
        <f>IF(tb_zakazchik[[#This Row],[Столбец1]]&lt;&gt;"",SUM($I$2:I802),"")</f>
        <v/>
      </c>
      <c r="K802" t="str">
        <f>IF(tb_zakazchik[[#This Row],[Столбец1]]&lt;&gt;"",tb_baza[[#This Row],[Гос. номер]],"")</f>
        <v/>
      </c>
    </row>
    <row r="803" spans="1:11" x14ac:dyDescent="0.25">
      <c r="A803" s="17" t="s">
        <v>959</v>
      </c>
      <c r="B803" s="10" t="s">
        <v>307</v>
      </c>
      <c r="C803" s="13" t="s">
        <v>153</v>
      </c>
      <c r="D803" s="7" t="s">
        <v>1274</v>
      </c>
      <c r="E803" s="2" t="s">
        <v>1306</v>
      </c>
      <c r="F803" s="2" t="s">
        <v>3</v>
      </c>
      <c r="G803" s="31"/>
      <c r="I8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3" t="str">
        <f>IF(tb_zakazchik[[#This Row],[Столбец1]]&lt;&gt;"",SUM($I$2:I803),"")</f>
        <v/>
      </c>
      <c r="K803" t="str">
        <f>IF(tb_zakazchik[[#This Row],[Столбец1]]&lt;&gt;"",tb_baza[[#This Row],[Гос. номер]],"")</f>
        <v/>
      </c>
    </row>
    <row r="804" spans="1:11" x14ac:dyDescent="0.25">
      <c r="A804" s="17" t="s">
        <v>975</v>
      </c>
      <c r="B804" s="10" t="s">
        <v>243</v>
      </c>
      <c r="C804" s="13" t="s">
        <v>153</v>
      </c>
      <c r="D804" s="7" t="s">
        <v>1274</v>
      </c>
      <c r="E804" s="2" t="s">
        <v>1306</v>
      </c>
      <c r="F804" s="2" t="s">
        <v>3</v>
      </c>
      <c r="G804" s="31"/>
      <c r="I8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4" t="str">
        <f>IF(tb_zakazchik[[#This Row],[Столбец1]]&lt;&gt;"",SUM($I$2:I804),"")</f>
        <v/>
      </c>
      <c r="K804" t="str">
        <f>IF(tb_zakazchik[[#This Row],[Столбец1]]&lt;&gt;"",tb_baza[[#This Row],[Гос. номер]],"")</f>
        <v/>
      </c>
    </row>
    <row r="805" spans="1:11" x14ac:dyDescent="0.25">
      <c r="A805" s="17" t="s">
        <v>399</v>
      </c>
      <c r="B805" s="10" t="s">
        <v>243</v>
      </c>
      <c r="C805" s="13" t="s">
        <v>153</v>
      </c>
      <c r="D805" s="7" t="s">
        <v>1274</v>
      </c>
      <c r="E805" s="2" t="s">
        <v>1306</v>
      </c>
      <c r="F805" s="2" t="s">
        <v>3</v>
      </c>
      <c r="G805" s="31"/>
      <c r="I8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5" t="str">
        <f>IF(tb_zakazchik[[#This Row],[Столбец1]]&lt;&gt;"",SUM($I$2:I805),"")</f>
        <v/>
      </c>
      <c r="K805" t="str">
        <f>IF(tb_zakazchik[[#This Row],[Столбец1]]&lt;&gt;"",tb_baza[[#This Row],[Гос. номер]],"")</f>
        <v/>
      </c>
    </row>
    <row r="806" spans="1:11" x14ac:dyDescent="0.25">
      <c r="A806" s="17" t="s">
        <v>244</v>
      </c>
      <c r="B806" s="10" t="s">
        <v>243</v>
      </c>
      <c r="C806" s="13" t="s">
        <v>153</v>
      </c>
      <c r="D806" s="7" t="s">
        <v>1274</v>
      </c>
      <c r="E806" s="2" t="s">
        <v>1306</v>
      </c>
      <c r="F806" s="2" t="s">
        <v>3</v>
      </c>
      <c r="G806" s="31"/>
      <c r="I8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6" t="str">
        <f>IF(tb_zakazchik[[#This Row],[Столбец1]]&lt;&gt;"",SUM($I$2:I806),"")</f>
        <v/>
      </c>
      <c r="K806" t="str">
        <f>IF(tb_zakazchik[[#This Row],[Столбец1]]&lt;&gt;"",tb_baza[[#This Row],[Гос. номер]],"")</f>
        <v/>
      </c>
    </row>
    <row r="807" spans="1:11" x14ac:dyDescent="0.25">
      <c r="A807" s="17" t="s">
        <v>978</v>
      </c>
      <c r="B807" s="10" t="s">
        <v>243</v>
      </c>
      <c r="C807" s="13" t="s">
        <v>153</v>
      </c>
      <c r="D807" s="7" t="s">
        <v>1274</v>
      </c>
      <c r="E807" s="2" t="s">
        <v>1306</v>
      </c>
      <c r="F807" s="2" t="s">
        <v>3</v>
      </c>
      <c r="G807" s="31"/>
      <c r="I8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7" t="str">
        <f>IF(tb_zakazchik[[#This Row],[Столбец1]]&lt;&gt;"",SUM($I$2:I807),"")</f>
        <v/>
      </c>
      <c r="K807" t="str">
        <f>IF(tb_zakazchik[[#This Row],[Столбец1]]&lt;&gt;"",tb_baza[[#This Row],[Гос. номер]],"")</f>
        <v/>
      </c>
    </row>
    <row r="808" spans="1:11" x14ac:dyDescent="0.25">
      <c r="A808" s="17" t="s">
        <v>271</v>
      </c>
      <c r="B808" s="10" t="s">
        <v>51</v>
      </c>
      <c r="C808" s="13" t="s">
        <v>153</v>
      </c>
      <c r="D808" s="7" t="s">
        <v>1274</v>
      </c>
      <c r="E808" s="2" t="s">
        <v>1306</v>
      </c>
      <c r="F808" s="2" t="s">
        <v>3</v>
      </c>
      <c r="G808" s="31"/>
      <c r="I8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8" t="str">
        <f>IF(tb_zakazchik[[#This Row],[Столбец1]]&lt;&gt;"",SUM($I$2:I808),"")</f>
        <v/>
      </c>
      <c r="K808" t="str">
        <f>IF(tb_zakazchik[[#This Row],[Столбец1]]&lt;&gt;"",tb_baza[[#This Row],[Гос. номер]],"")</f>
        <v/>
      </c>
    </row>
    <row r="809" spans="1:11" x14ac:dyDescent="0.25">
      <c r="A809" s="17" t="s">
        <v>991</v>
      </c>
      <c r="B809" s="10" t="s">
        <v>155</v>
      </c>
      <c r="C809" s="13" t="s">
        <v>153</v>
      </c>
      <c r="D809" s="7" t="s">
        <v>1274</v>
      </c>
      <c r="E809" s="2" t="s">
        <v>1306</v>
      </c>
      <c r="F809" s="2" t="s">
        <v>13</v>
      </c>
      <c r="G809" s="31"/>
      <c r="I8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09" t="str">
        <f>IF(tb_zakazchik[[#This Row],[Столбец1]]&lt;&gt;"",SUM($I$2:I809),"")</f>
        <v/>
      </c>
      <c r="K809" t="str">
        <f>IF(tb_zakazchik[[#This Row],[Столбец1]]&lt;&gt;"",tb_baza[[#This Row],[Гос. номер]],"")</f>
        <v/>
      </c>
    </row>
    <row r="810" spans="1:11" x14ac:dyDescent="0.25">
      <c r="A810" s="17" t="s">
        <v>992</v>
      </c>
      <c r="B810" s="10" t="s">
        <v>155</v>
      </c>
      <c r="C810" s="13" t="s">
        <v>153</v>
      </c>
      <c r="D810" s="7" t="s">
        <v>1274</v>
      </c>
      <c r="E810" s="2" t="s">
        <v>1306</v>
      </c>
      <c r="F810" s="2" t="s">
        <v>13</v>
      </c>
      <c r="G810" s="31"/>
      <c r="I8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0" t="str">
        <f>IF(tb_zakazchik[[#This Row],[Столбец1]]&lt;&gt;"",SUM($I$2:I810),"")</f>
        <v/>
      </c>
      <c r="K810" t="str">
        <f>IF(tb_zakazchik[[#This Row],[Столбец1]]&lt;&gt;"",tb_baza[[#This Row],[Гос. номер]],"")</f>
        <v/>
      </c>
    </row>
    <row r="811" spans="1:11" x14ac:dyDescent="0.25">
      <c r="A811" s="17" t="s">
        <v>993</v>
      </c>
      <c r="B811" s="10" t="s">
        <v>155</v>
      </c>
      <c r="C811" s="13" t="s">
        <v>153</v>
      </c>
      <c r="D811" s="7" t="s">
        <v>1274</v>
      </c>
      <c r="E811" s="2" t="s">
        <v>1306</v>
      </c>
      <c r="F811" s="2" t="s">
        <v>13</v>
      </c>
      <c r="G811" s="31"/>
      <c r="I8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1" t="str">
        <f>IF(tb_zakazchik[[#This Row],[Столбец1]]&lt;&gt;"",SUM($I$2:I811),"")</f>
        <v/>
      </c>
      <c r="K811" t="str">
        <f>IF(tb_zakazchik[[#This Row],[Столбец1]]&lt;&gt;"",tb_baza[[#This Row],[Гос. номер]],"")</f>
        <v/>
      </c>
    </row>
    <row r="812" spans="1:11" x14ac:dyDescent="0.25">
      <c r="A812" s="17" t="s">
        <v>994</v>
      </c>
      <c r="B812" s="10" t="s">
        <v>155</v>
      </c>
      <c r="C812" s="13" t="s">
        <v>153</v>
      </c>
      <c r="D812" s="7" t="s">
        <v>1274</v>
      </c>
      <c r="E812" s="2" t="s">
        <v>1306</v>
      </c>
      <c r="F812" s="2" t="s">
        <v>13</v>
      </c>
      <c r="G812" s="31"/>
      <c r="I8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2" t="str">
        <f>IF(tb_zakazchik[[#This Row],[Столбец1]]&lt;&gt;"",SUM($I$2:I812),"")</f>
        <v/>
      </c>
      <c r="K812" t="str">
        <f>IF(tb_zakazchik[[#This Row],[Столбец1]]&lt;&gt;"",tb_baza[[#This Row],[Гос. номер]],"")</f>
        <v/>
      </c>
    </row>
    <row r="813" spans="1:11" x14ac:dyDescent="0.25">
      <c r="A813" s="17" t="s">
        <v>799</v>
      </c>
      <c r="B813" s="10" t="s">
        <v>51</v>
      </c>
      <c r="C813" s="13" t="s">
        <v>153</v>
      </c>
      <c r="D813" s="7" t="s">
        <v>1274</v>
      </c>
      <c r="E813" s="2" t="s">
        <v>1306</v>
      </c>
      <c r="F813" s="2" t="s">
        <v>3</v>
      </c>
      <c r="G813" s="31"/>
      <c r="I8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3" t="str">
        <f>IF(tb_zakazchik[[#This Row],[Столбец1]]&lt;&gt;"",SUM($I$2:I813),"")</f>
        <v/>
      </c>
      <c r="K813" t="str">
        <f>IF(tb_zakazchik[[#This Row],[Столбец1]]&lt;&gt;"",tb_baza[[#This Row],[Гос. номер]],"")</f>
        <v/>
      </c>
    </row>
    <row r="814" spans="1:11" x14ac:dyDescent="0.25">
      <c r="A814" s="17" t="s">
        <v>642</v>
      </c>
      <c r="B814" s="10" t="s">
        <v>51</v>
      </c>
      <c r="C814" s="13" t="s">
        <v>153</v>
      </c>
      <c r="D814" s="7" t="s">
        <v>1274</v>
      </c>
      <c r="E814" s="2" t="s">
        <v>1306</v>
      </c>
      <c r="F814" s="2" t="s">
        <v>3</v>
      </c>
      <c r="G814" s="31"/>
      <c r="I8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4" t="str">
        <f>IF(tb_zakazchik[[#This Row],[Столбец1]]&lt;&gt;"",SUM($I$2:I814),"")</f>
        <v/>
      </c>
      <c r="K814" t="str">
        <f>IF(tb_zakazchik[[#This Row],[Столбец1]]&lt;&gt;"",tb_baza[[#This Row],[Гос. номер]],"")</f>
        <v/>
      </c>
    </row>
    <row r="815" spans="1:11" x14ac:dyDescent="0.25">
      <c r="A815" s="17" t="s">
        <v>594</v>
      </c>
      <c r="B815" s="10" t="s">
        <v>51</v>
      </c>
      <c r="C815" s="13" t="s">
        <v>153</v>
      </c>
      <c r="D815" s="7" t="s">
        <v>1274</v>
      </c>
      <c r="E815" s="2" t="s">
        <v>1306</v>
      </c>
      <c r="F815" s="2" t="s">
        <v>3</v>
      </c>
      <c r="G815" s="31"/>
      <c r="I8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5" t="str">
        <f>IF(tb_zakazchik[[#This Row],[Столбец1]]&lt;&gt;"",SUM($I$2:I815),"")</f>
        <v/>
      </c>
      <c r="K815" t="str">
        <f>IF(tb_zakazchik[[#This Row],[Столбец1]]&lt;&gt;"",tb_baza[[#This Row],[Гос. номер]],"")</f>
        <v/>
      </c>
    </row>
    <row r="816" spans="1:11" x14ac:dyDescent="0.25">
      <c r="A816" s="17" t="s">
        <v>200</v>
      </c>
      <c r="B816" s="10" t="s">
        <v>51</v>
      </c>
      <c r="C816" s="13" t="s">
        <v>153</v>
      </c>
      <c r="D816" s="7" t="s">
        <v>1274</v>
      </c>
      <c r="E816" s="2" t="s">
        <v>1306</v>
      </c>
      <c r="F816" s="2" t="s">
        <v>13</v>
      </c>
      <c r="G816" s="31"/>
      <c r="I8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6" t="str">
        <f>IF(tb_zakazchik[[#This Row],[Столбец1]]&lt;&gt;"",SUM($I$2:I816),"")</f>
        <v/>
      </c>
      <c r="K816" t="str">
        <f>IF(tb_zakazchik[[#This Row],[Столбец1]]&lt;&gt;"",tb_baza[[#This Row],[Гос. номер]],"")</f>
        <v/>
      </c>
    </row>
    <row r="817" spans="1:11" x14ac:dyDescent="0.25">
      <c r="A817" s="17" t="s">
        <v>593</v>
      </c>
      <c r="B817" s="10" t="s">
        <v>51</v>
      </c>
      <c r="C817" s="13" t="s">
        <v>153</v>
      </c>
      <c r="D817" s="7" t="s">
        <v>1274</v>
      </c>
      <c r="E817" s="2" t="s">
        <v>1306</v>
      </c>
      <c r="F817" s="2" t="s">
        <v>13</v>
      </c>
      <c r="G817" s="31"/>
      <c r="I8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7" t="str">
        <f>IF(tb_zakazchik[[#This Row],[Столбец1]]&lt;&gt;"",SUM($I$2:I817),"")</f>
        <v/>
      </c>
      <c r="K817" t="str">
        <f>IF(tb_zakazchik[[#This Row],[Столбец1]]&lt;&gt;"",tb_baza[[#This Row],[Гос. номер]],"")</f>
        <v/>
      </c>
    </row>
    <row r="818" spans="1:11" x14ac:dyDescent="0.25">
      <c r="A818" s="17" t="s">
        <v>319</v>
      </c>
      <c r="B818" s="10" t="s">
        <v>51</v>
      </c>
      <c r="C818" s="13" t="s">
        <v>153</v>
      </c>
      <c r="D818" s="7" t="s">
        <v>1274</v>
      </c>
      <c r="E818" s="2" t="s">
        <v>1306</v>
      </c>
      <c r="F818" s="2" t="s">
        <v>3</v>
      </c>
      <c r="G818" s="31"/>
      <c r="I8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8" t="str">
        <f>IF(tb_zakazchik[[#This Row],[Столбец1]]&lt;&gt;"",SUM($I$2:I818),"")</f>
        <v/>
      </c>
      <c r="K818" t="str">
        <f>IF(tb_zakazchik[[#This Row],[Столбец1]]&lt;&gt;"",tb_baza[[#This Row],[Гос. номер]],"")</f>
        <v/>
      </c>
    </row>
    <row r="819" spans="1:11" x14ac:dyDescent="0.25">
      <c r="A819" s="17" t="s">
        <v>958</v>
      </c>
      <c r="B819" s="10" t="s">
        <v>307</v>
      </c>
      <c r="C819" s="13" t="s">
        <v>153</v>
      </c>
      <c r="D819" s="7" t="s">
        <v>1274</v>
      </c>
      <c r="E819" s="2" t="s">
        <v>1306</v>
      </c>
      <c r="F819" s="2" t="s">
        <v>13</v>
      </c>
      <c r="G819" s="31"/>
      <c r="I8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19" t="str">
        <f>IF(tb_zakazchik[[#This Row],[Столбец1]]&lt;&gt;"",SUM($I$2:I819),"")</f>
        <v/>
      </c>
      <c r="K819" t="str">
        <f>IF(tb_zakazchik[[#This Row],[Столбец1]]&lt;&gt;"",tb_baza[[#This Row],[Гос. номер]],"")</f>
        <v/>
      </c>
    </row>
    <row r="820" spans="1:11" x14ac:dyDescent="0.25">
      <c r="A820" s="17" t="s">
        <v>535</v>
      </c>
      <c r="B820" s="10" t="s">
        <v>307</v>
      </c>
      <c r="C820" s="13" t="s">
        <v>153</v>
      </c>
      <c r="D820" s="7" t="s">
        <v>1274</v>
      </c>
      <c r="E820" s="2" t="s">
        <v>1306</v>
      </c>
      <c r="F820" s="2" t="s">
        <v>3</v>
      </c>
      <c r="G820" s="31"/>
      <c r="I8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0" t="str">
        <f>IF(tb_zakazchik[[#This Row],[Столбец1]]&lt;&gt;"",SUM($I$2:I820),"")</f>
        <v/>
      </c>
      <c r="K820" t="str">
        <f>IF(tb_zakazchik[[#This Row],[Столбец1]]&lt;&gt;"",tb_baza[[#This Row],[Гос. номер]],"")</f>
        <v/>
      </c>
    </row>
    <row r="821" spans="1:11" x14ac:dyDescent="0.25">
      <c r="A821" s="17" t="s">
        <v>308</v>
      </c>
      <c r="B821" s="10" t="s">
        <v>307</v>
      </c>
      <c r="C821" s="13" t="s">
        <v>153</v>
      </c>
      <c r="D821" s="7" t="s">
        <v>1274</v>
      </c>
      <c r="E821" s="2" t="s">
        <v>1306</v>
      </c>
      <c r="F821" s="2" t="s">
        <v>13</v>
      </c>
      <c r="G821" s="31"/>
      <c r="I8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1" t="str">
        <f>IF(tb_zakazchik[[#This Row],[Столбец1]]&lt;&gt;"",SUM($I$2:I821),"")</f>
        <v/>
      </c>
      <c r="K821" t="str">
        <f>IF(tb_zakazchik[[#This Row],[Столбец1]]&lt;&gt;"",tb_baza[[#This Row],[Гос. номер]],"")</f>
        <v/>
      </c>
    </row>
    <row r="822" spans="1:11" x14ac:dyDescent="0.25">
      <c r="A822" s="17" t="s">
        <v>623</v>
      </c>
      <c r="B822" s="10" t="s">
        <v>307</v>
      </c>
      <c r="C822" s="13" t="s">
        <v>153</v>
      </c>
      <c r="D822" s="7" t="s">
        <v>1274</v>
      </c>
      <c r="E822" s="2" t="s">
        <v>1306</v>
      </c>
      <c r="F822" s="2" t="s">
        <v>3</v>
      </c>
      <c r="G822" s="31"/>
      <c r="I8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2" t="str">
        <f>IF(tb_zakazchik[[#This Row],[Столбец1]]&lt;&gt;"",SUM($I$2:I822),"")</f>
        <v/>
      </c>
      <c r="K822" t="str">
        <f>IF(tb_zakazchik[[#This Row],[Столбец1]]&lt;&gt;"",tb_baza[[#This Row],[Гос. номер]],"")</f>
        <v/>
      </c>
    </row>
    <row r="823" spans="1:11" x14ac:dyDescent="0.25">
      <c r="A823" s="17" t="s">
        <v>224</v>
      </c>
      <c r="B823" s="10" t="s">
        <v>51</v>
      </c>
      <c r="C823" s="13" t="s">
        <v>153</v>
      </c>
      <c r="D823" s="7" t="s">
        <v>1274</v>
      </c>
      <c r="E823" s="2" t="s">
        <v>1306</v>
      </c>
      <c r="F823" s="2" t="s">
        <v>3</v>
      </c>
      <c r="G823" s="31"/>
      <c r="I8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3" t="str">
        <f>IF(tb_zakazchik[[#This Row],[Столбец1]]&lt;&gt;"",SUM($I$2:I823),"")</f>
        <v/>
      </c>
      <c r="K823" t="str">
        <f>IF(tb_zakazchik[[#This Row],[Столбец1]]&lt;&gt;"",tb_baza[[#This Row],[Гос. номер]],"")</f>
        <v/>
      </c>
    </row>
    <row r="824" spans="1:11" x14ac:dyDescent="0.25">
      <c r="A824" s="17" t="s">
        <v>157</v>
      </c>
      <c r="B824" s="10" t="s">
        <v>71</v>
      </c>
      <c r="C824" s="13" t="s">
        <v>153</v>
      </c>
      <c r="D824" s="7" t="s">
        <v>1274</v>
      </c>
      <c r="E824" s="2" t="s">
        <v>1306</v>
      </c>
      <c r="F824" s="2" t="s">
        <v>13</v>
      </c>
      <c r="G824" s="31"/>
      <c r="I8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4" t="str">
        <f>IF(tb_zakazchik[[#This Row],[Столбец1]]&lt;&gt;"",SUM($I$2:I824),"")</f>
        <v/>
      </c>
      <c r="K824" t="str">
        <f>IF(tb_zakazchik[[#This Row],[Столбец1]]&lt;&gt;"",tb_baza[[#This Row],[Гос. номер]],"")</f>
        <v/>
      </c>
    </row>
    <row r="825" spans="1:11" x14ac:dyDescent="0.25">
      <c r="A825" s="17" t="s">
        <v>963</v>
      </c>
      <c r="B825" s="10" t="s">
        <v>277</v>
      </c>
      <c r="C825" s="13" t="s">
        <v>153</v>
      </c>
      <c r="D825" s="7" t="s">
        <v>1274</v>
      </c>
      <c r="E825" s="2" t="s">
        <v>1306</v>
      </c>
      <c r="F825" s="2" t="s">
        <v>3</v>
      </c>
      <c r="G825" s="31"/>
      <c r="I8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5" t="str">
        <f>IF(tb_zakazchik[[#This Row],[Столбец1]]&lt;&gt;"",SUM($I$2:I825),"")</f>
        <v/>
      </c>
      <c r="K825" t="str">
        <f>IF(tb_zakazchik[[#This Row],[Столбец1]]&lt;&gt;"",tb_baza[[#This Row],[Гос. номер]],"")</f>
        <v/>
      </c>
    </row>
    <row r="826" spans="1:11" x14ac:dyDescent="0.25">
      <c r="A826" s="17" t="s">
        <v>236</v>
      </c>
      <c r="B826" s="10" t="s">
        <v>51</v>
      </c>
      <c r="C826" s="13" t="s">
        <v>153</v>
      </c>
      <c r="D826" s="7" t="s">
        <v>1274</v>
      </c>
      <c r="E826" s="2" t="s">
        <v>1306</v>
      </c>
      <c r="F826" s="2" t="s">
        <v>13</v>
      </c>
      <c r="G826" s="31"/>
      <c r="I8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6" t="str">
        <f>IF(tb_zakazchik[[#This Row],[Столбец1]]&lt;&gt;"",SUM($I$2:I826),"")</f>
        <v/>
      </c>
      <c r="K826" t="str">
        <f>IF(tb_zakazchik[[#This Row],[Столбец1]]&lt;&gt;"",tb_baza[[#This Row],[Гос. номер]],"")</f>
        <v/>
      </c>
    </row>
    <row r="827" spans="1:11" x14ac:dyDescent="0.25">
      <c r="A827" s="17" t="s">
        <v>884</v>
      </c>
      <c r="B827" s="10" t="s">
        <v>307</v>
      </c>
      <c r="C827" s="13" t="s">
        <v>153</v>
      </c>
      <c r="D827" s="7" t="s">
        <v>1274</v>
      </c>
      <c r="E827" s="2" t="s">
        <v>1306</v>
      </c>
      <c r="F827" s="2" t="s">
        <v>3</v>
      </c>
      <c r="G827" s="31"/>
      <c r="I8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7" t="str">
        <f>IF(tb_zakazchik[[#This Row],[Столбец1]]&lt;&gt;"",SUM($I$2:I827),"")</f>
        <v/>
      </c>
      <c r="K827" t="str">
        <f>IF(tb_zakazchik[[#This Row],[Столбец1]]&lt;&gt;"",tb_baza[[#This Row],[Гос. номер]],"")</f>
        <v/>
      </c>
    </row>
    <row r="828" spans="1:11" x14ac:dyDescent="0.25">
      <c r="A828" s="17" t="s">
        <v>297</v>
      </c>
      <c r="B828" s="10" t="s">
        <v>243</v>
      </c>
      <c r="C828" s="13" t="s">
        <v>153</v>
      </c>
      <c r="D828" s="7" t="s">
        <v>1274</v>
      </c>
      <c r="E828" s="2" t="s">
        <v>1306</v>
      </c>
      <c r="F828" s="2" t="s">
        <v>13</v>
      </c>
      <c r="G828" s="31"/>
      <c r="I8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8" t="str">
        <f>IF(tb_zakazchik[[#This Row],[Столбец1]]&lt;&gt;"",SUM($I$2:I828),"")</f>
        <v/>
      </c>
      <c r="K828" t="str">
        <f>IF(tb_zakazchik[[#This Row],[Столбец1]]&lt;&gt;"",tb_baza[[#This Row],[Гос. номер]],"")</f>
        <v/>
      </c>
    </row>
    <row r="829" spans="1:11" x14ac:dyDescent="0.25">
      <c r="A829" s="17" t="s">
        <v>588</v>
      </c>
      <c r="B829" s="10" t="s">
        <v>51</v>
      </c>
      <c r="C829" s="13" t="s">
        <v>153</v>
      </c>
      <c r="D829" s="7" t="s">
        <v>1274</v>
      </c>
      <c r="E829" s="2" t="s">
        <v>1306</v>
      </c>
      <c r="F829" s="2" t="s">
        <v>13</v>
      </c>
      <c r="G829" s="31"/>
      <c r="I8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29" t="str">
        <f>IF(tb_zakazchik[[#This Row],[Столбец1]]&lt;&gt;"",SUM($I$2:I829),"")</f>
        <v/>
      </c>
      <c r="K829" t="str">
        <f>IF(tb_zakazchik[[#This Row],[Столбец1]]&lt;&gt;"",tb_baza[[#This Row],[Гос. номер]],"")</f>
        <v/>
      </c>
    </row>
    <row r="830" spans="1:11" x14ac:dyDescent="0.25">
      <c r="A830" s="17" t="s">
        <v>568</v>
      </c>
      <c r="B830" s="10" t="s">
        <v>71</v>
      </c>
      <c r="C830" s="13" t="s">
        <v>153</v>
      </c>
      <c r="D830" s="7" t="s">
        <v>1274</v>
      </c>
      <c r="E830" s="2" t="s">
        <v>1306</v>
      </c>
      <c r="F830" s="2" t="s">
        <v>13</v>
      </c>
      <c r="G830" s="31"/>
      <c r="I8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0" t="str">
        <f>IF(tb_zakazchik[[#This Row],[Столбец1]]&lt;&gt;"",SUM($I$2:I830),"")</f>
        <v/>
      </c>
      <c r="K830" t="str">
        <f>IF(tb_zakazchik[[#This Row],[Столбец1]]&lt;&gt;"",tb_baza[[#This Row],[Гос. номер]],"")</f>
        <v/>
      </c>
    </row>
    <row r="831" spans="1:11" x14ac:dyDescent="0.25">
      <c r="A831" s="17" t="s">
        <v>564</v>
      </c>
      <c r="B831" s="10" t="s">
        <v>123</v>
      </c>
      <c r="C831" s="13" t="s">
        <v>153</v>
      </c>
      <c r="D831" s="7" t="s">
        <v>1274</v>
      </c>
      <c r="E831" s="2" t="s">
        <v>1306</v>
      </c>
      <c r="F831" s="2" t="s">
        <v>13</v>
      </c>
      <c r="G831" s="31"/>
      <c r="I8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1" t="str">
        <f>IF(tb_zakazchik[[#This Row],[Столбец1]]&lt;&gt;"",SUM($I$2:I831),"")</f>
        <v/>
      </c>
      <c r="K831" t="str">
        <f>IF(tb_zakazchik[[#This Row],[Столбец1]]&lt;&gt;"",tb_baza[[#This Row],[Гос. номер]],"")</f>
        <v/>
      </c>
    </row>
    <row r="832" spans="1:11" x14ac:dyDescent="0.25">
      <c r="A832" s="17" t="s">
        <v>429</v>
      </c>
      <c r="B832" s="10" t="s">
        <v>162</v>
      </c>
      <c r="C832" s="13" t="s">
        <v>153</v>
      </c>
      <c r="D832" s="7" t="s">
        <v>1274</v>
      </c>
      <c r="E832" s="2" t="s">
        <v>1306</v>
      </c>
      <c r="F832" s="2" t="s">
        <v>3</v>
      </c>
      <c r="G832" s="31"/>
      <c r="I8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2" t="str">
        <f>IF(tb_zakazchik[[#This Row],[Столбец1]]&lt;&gt;"",SUM($I$2:I832),"")</f>
        <v/>
      </c>
      <c r="K832" t="str">
        <f>IF(tb_zakazchik[[#This Row],[Столбец1]]&lt;&gt;"",tb_baza[[#This Row],[Гос. номер]],"")</f>
        <v/>
      </c>
    </row>
    <row r="833" spans="1:11" x14ac:dyDescent="0.25">
      <c r="A833" s="17" t="s">
        <v>990</v>
      </c>
      <c r="B833" s="10" t="s">
        <v>155</v>
      </c>
      <c r="C833" s="13" t="s">
        <v>153</v>
      </c>
      <c r="D833" s="7" t="s">
        <v>1274</v>
      </c>
      <c r="E833" s="2" t="s">
        <v>1306</v>
      </c>
      <c r="F833" s="2" t="s">
        <v>6</v>
      </c>
      <c r="G833" s="31"/>
      <c r="I8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3" t="str">
        <f>IF(tb_zakazchik[[#This Row],[Столбец1]]&lt;&gt;"",SUM($I$2:I833),"")</f>
        <v/>
      </c>
      <c r="K833" t="str">
        <f>IF(tb_zakazchik[[#This Row],[Столбец1]]&lt;&gt;"",tb_baza[[#This Row],[Гос. номер]],"")</f>
        <v/>
      </c>
    </row>
    <row r="834" spans="1:11" x14ac:dyDescent="0.25">
      <c r="A834" s="17" t="s">
        <v>156</v>
      </c>
      <c r="B834" s="10" t="s">
        <v>155</v>
      </c>
      <c r="C834" s="13" t="s">
        <v>153</v>
      </c>
      <c r="D834" s="7" t="s">
        <v>1274</v>
      </c>
      <c r="E834" s="2" t="s">
        <v>1306</v>
      </c>
      <c r="F834" s="2" t="s">
        <v>6</v>
      </c>
      <c r="G834" s="31"/>
      <c r="I8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4" t="str">
        <f>IF(tb_zakazchik[[#This Row],[Столбец1]]&lt;&gt;"",SUM($I$2:I834),"")</f>
        <v/>
      </c>
      <c r="K834" t="str">
        <f>IF(tb_zakazchik[[#This Row],[Столбец1]]&lt;&gt;"",tb_baza[[#This Row],[Гос. номер]],"")</f>
        <v/>
      </c>
    </row>
    <row r="835" spans="1:11" x14ac:dyDescent="0.25">
      <c r="A835" s="17" t="s">
        <v>1021</v>
      </c>
      <c r="B835" s="10" t="s">
        <v>172</v>
      </c>
      <c r="C835" s="13" t="s">
        <v>153</v>
      </c>
      <c r="D835" s="7" t="s">
        <v>1274</v>
      </c>
      <c r="E835" s="2" t="s">
        <v>1306</v>
      </c>
      <c r="F835" s="2" t="s">
        <v>6</v>
      </c>
      <c r="G835" s="31"/>
      <c r="I8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5" t="str">
        <f>IF(tb_zakazchik[[#This Row],[Столбец1]]&lt;&gt;"",SUM($I$2:I835),"")</f>
        <v/>
      </c>
      <c r="K835" t="str">
        <f>IF(tb_zakazchik[[#This Row],[Столбец1]]&lt;&gt;"",tb_baza[[#This Row],[Гос. номер]],"")</f>
        <v/>
      </c>
    </row>
    <row r="836" spans="1:11" x14ac:dyDescent="0.25">
      <c r="A836" s="17" t="s">
        <v>1033</v>
      </c>
      <c r="B836" s="10" t="s">
        <v>172</v>
      </c>
      <c r="C836" s="13" t="s">
        <v>153</v>
      </c>
      <c r="D836" s="7" t="s">
        <v>1274</v>
      </c>
      <c r="E836" s="2" t="s">
        <v>1306</v>
      </c>
      <c r="F836" s="2" t="s">
        <v>3</v>
      </c>
      <c r="G836" s="31"/>
      <c r="I8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6" t="str">
        <f>IF(tb_zakazchik[[#This Row],[Столбец1]]&lt;&gt;"",SUM($I$2:I836),"")</f>
        <v/>
      </c>
      <c r="K836" t="str">
        <f>IF(tb_zakazchik[[#This Row],[Столбец1]]&lt;&gt;"",tb_baza[[#This Row],[Гос. номер]],"")</f>
        <v/>
      </c>
    </row>
    <row r="837" spans="1:11" x14ac:dyDescent="0.25">
      <c r="A837" s="17" t="s">
        <v>1020</v>
      </c>
      <c r="B837" s="10" t="s">
        <v>172</v>
      </c>
      <c r="C837" s="13" t="s">
        <v>153</v>
      </c>
      <c r="D837" s="7" t="s">
        <v>1274</v>
      </c>
      <c r="E837" s="2" t="s">
        <v>1306</v>
      </c>
      <c r="F837" s="2" t="s">
        <v>13</v>
      </c>
      <c r="G837" s="31"/>
      <c r="I8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7" t="str">
        <f>IF(tb_zakazchik[[#This Row],[Столбец1]]&lt;&gt;"",SUM($I$2:I837),"")</f>
        <v/>
      </c>
      <c r="K837" t="str">
        <f>IF(tb_zakazchik[[#This Row],[Столбец1]]&lt;&gt;"",tb_baza[[#This Row],[Гос. номер]],"")</f>
        <v/>
      </c>
    </row>
    <row r="838" spans="1:11" x14ac:dyDescent="0.25">
      <c r="A838" s="17" t="s">
        <v>225</v>
      </c>
      <c r="B838" s="10" t="s">
        <v>71</v>
      </c>
      <c r="C838" s="13" t="s">
        <v>153</v>
      </c>
      <c r="D838" s="7" t="s">
        <v>1274</v>
      </c>
      <c r="E838" s="2" t="s">
        <v>1306</v>
      </c>
      <c r="F838" s="2" t="s">
        <v>3</v>
      </c>
      <c r="G838" s="31"/>
      <c r="I8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8" t="str">
        <f>IF(tb_zakazchik[[#This Row],[Столбец1]]&lt;&gt;"",SUM($I$2:I838),"")</f>
        <v/>
      </c>
      <c r="K838" t="str">
        <f>IF(tb_zakazchik[[#This Row],[Столбец1]]&lt;&gt;"",tb_baza[[#This Row],[Гос. номер]],"")</f>
        <v/>
      </c>
    </row>
    <row r="839" spans="1:11" x14ac:dyDescent="0.25">
      <c r="A839" s="17" t="s">
        <v>528</v>
      </c>
      <c r="B839" s="10" t="s">
        <v>307</v>
      </c>
      <c r="C839" s="13" t="s">
        <v>153</v>
      </c>
      <c r="D839" s="7" t="s">
        <v>1274</v>
      </c>
      <c r="E839" s="2" t="s">
        <v>1306</v>
      </c>
      <c r="F839" s="2" t="s">
        <v>3</v>
      </c>
      <c r="G839" s="31"/>
      <c r="I8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39" t="str">
        <f>IF(tb_zakazchik[[#This Row],[Столбец1]]&lt;&gt;"",SUM($I$2:I839),"")</f>
        <v/>
      </c>
      <c r="K839" t="str">
        <f>IF(tb_zakazchik[[#This Row],[Столбец1]]&lt;&gt;"",tb_baza[[#This Row],[Гос. номер]],"")</f>
        <v/>
      </c>
    </row>
    <row r="840" spans="1:11" x14ac:dyDescent="0.25">
      <c r="A840" s="17" t="s">
        <v>705</v>
      </c>
      <c r="B840" s="10" t="s">
        <v>243</v>
      </c>
      <c r="C840" s="13" t="s">
        <v>153</v>
      </c>
      <c r="D840" s="7" t="s">
        <v>1274</v>
      </c>
      <c r="E840" s="2" t="s">
        <v>1306</v>
      </c>
      <c r="F840" s="2" t="s">
        <v>13</v>
      </c>
      <c r="G840" s="31"/>
      <c r="I8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0" t="str">
        <f>IF(tb_zakazchik[[#This Row],[Столбец1]]&lt;&gt;"",SUM($I$2:I840),"")</f>
        <v/>
      </c>
      <c r="K840" t="str">
        <f>IF(tb_zakazchik[[#This Row],[Столбец1]]&lt;&gt;"",tb_baza[[#This Row],[Гос. номер]],"")</f>
        <v/>
      </c>
    </row>
    <row r="841" spans="1:11" x14ac:dyDescent="0.25">
      <c r="A841" s="17" t="s">
        <v>556</v>
      </c>
      <c r="B841" s="10" t="s">
        <v>71</v>
      </c>
      <c r="C841" s="13" t="s">
        <v>153</v>
      </c>
      <c r="D841" s="7" t="s">
        <v>1274</v>
      </c>
      <c r="E841" s="2" t="s">
        <v>1306</v>
      </c>
      <c r="F841" s="2" t="s">
        <v>13</v>
      </c>
      <c r="G841" s="31"/>
      <c r="I8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1" t="str">
        <f>IF(tb_zakazchik[[#This Row],[Столбец1]]&lt;&gt;"",SUM($I$2:I841),"")</f>
        <v/>
      </c>
      <c r="K841" t="str">
        <f>IF(tb_zakazchik[[#This Row],[Столбец1]]&lt;&gt;"",tb_baza[[#This Row],[Гос. номер]],"")</f>
        <v/>
      </c>
    </row>
    <row r="842" spans="1:11" x14ac:dyDescent="0.25">
      <c r="A842" s="17" t="s">
        <v>163</v>
      </c>
      <c r="B842" s="10" t="s">
        <v>162</v>
      </c>
      <c r="C842" s="13" t="s">
        <v>153</v>
      </c>
      <c r="D842" s="7" t="s">
        <v>1274</v>
      </c>
      <c r="E842" s="2" t="s">
        <v>1306</v>
      </c>
      <c r="F842" s="2" t="s">
        <v>3</v>
      </c>
      <c r="G842" s="31"/>
      <c r="I8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2" t="str">
        <f>IF(tb_zakazchik[[#This Row],[Столбец1]]&lt;&gt;"",SUM($I$2:I842),"")</f>
        <v/>
      </c>
      <c r="K842" t="str">
        <f>IF(tb_zakazchik[[#This Row],[Столбец1]]&lt;&gt;"",tb_baza[[#This Row],[Гос. номер]],"")</f>
        <v/>
      </c>
    </row>
    <row r="843" spans="1:11" x14ac:dyDescent="0.25">
      <c r="A843" s="17" t="s">
        <v>420</v>
      </c>
      <c r="B843" s="10" t="s">
        <v>123</v>
      </c>
      <c r="C843" s="13" t="s">
        <v>153</v>
      </c>
      <c r="D843" s="7" t="s">
        <v>1274</v>
      </c>
      <c r="E843" s="2" t="s">
        <v>1306</v>
      </c>
      <c r="F843" s="2" t="s">
        <v>3</v>
      </c>
      <c r="G843" s="31"/>
      <c r="I8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3" t="str">
        <f>IF(tb_zakazchik[[#This Row],[Столбец1]]&lt;&gt;"",SUM($I$2:I843),"")</f>
        <v/>
      </c>
      <c r="K843" t="str">
        <f>IF(tb_zakazchik[[#This Row],[Столбец1]]&lt;&gt;"",tb_baza[[#This Row],[Гос. номер]],"")</f>
        <v/>
      </c>
    </row>
    <row r="844" spans="1:11" x14ac:dyDescent="0.25">
      <c r="A844" s="17" t="s">
        <v>1053</v>
      </c>
      <c r="B844" s="10" t="s">
        <v>1052</v>
      </c>
      <c r="C844" s="13" t="s">
        <v>153</v>
      </c>
      <c r="D844" s="7" t="s">
        <v>1274</v>
      </c>
      <c r="E844" s="2" t="s">
        <v>1306</v>
      </c>
      <c r="F844" s="2" t="s">
        <v>13</v>
      </c>
      <c r="G844" s="31"/>
      <c r="I8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4" t="str">
        <f>IF(tb_zakazchik[[#This Row],[Столбец1]]&lt;&gt;"",SUM($I$2:I844),"")</f>
        <v/>
      </c>
      <c r="K844" t="str">
        <f>IF(tb_zakazchik[[#This Row],[Столбец1]]&lt;&gt;"",tb_baza[[#This Row],[Гос. номер]],"")</f>
        <v/>
      </c>
    </row>
    <row r="845" spans="1:11" x14ac:dyDescent="0.25">
      <c r="A845" s="17" t="s">
        <v>427</v>
      </c>
      <c r="B845" s="10" t="s">
        <v>162</v>
      </c>
      <c r="C845" s="13" t="s">
        <v>153</v>
      </c>
      <c r="D845" s="7" t="s">
        <v>1274</v>
      </c>
      <c r="E845" s="2" t="s">
        <v>1306</v>
      </c>
      <c r="F845" s="2" t="s">
        <v>3</v>
      </c>
      <c r="G845" s="31"/>
      <c r="I8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5" t="str">
        <f>IF(tb_zakazchik[[#This Row],[Столбец1]]&lt;&gt;"",SUM($I$2:I845),"")</f>
        <v/>
      </c>
      <c r="K845" t="str">
        <f>IF(tb_zakazchik[[#This Row],[Столбец1]]&lt;&gt;"",tb_baza[[#This Row],[Гос. номер]],"")</f>
        <v/>
      </c>
    </row>
    <row r="846" spans="1:11" x14ac:dyDescent="0.25">
      <c r="A846" s="17" t="s">
        <v>430</v>
      </c>
      <c r="B846" s="10" t="s">
        <v>86</v>
      </c>
      <c r="C846" s="13" t="s">
        <v>153</v>
      </c>
      <c r="D846" s="7" t="s">
        <v>1274</v>
      </c>
      <c r="E846" s="2" t="s">
        <v>1306</v>
      </c>
      <c r="F846" s="2" t="s">
        <v>3</v>
      </c>
      <c r="G846" s="31"/>
      <c r="I8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6" t="str">
        <f>IF(tb_zakazchik[[#This Row],[Столбец1]]&lt;&gt;"",SUM($I$2:I846),"")</f>
        <v/>
      </c>
      <c r="K846" t="str">
        <f>IF(tb_zakazchik[[#This Row],[Столбец1]]&lt;&gt;"",tb_baza[[#This Row],[Гос. номер]],"")</f>
        <v/>
      </c>
    </row>
    <row r="847" spans="1:11" x14ac:dyDescent="0.25">
      <c r="A847" s="17" t="s">
        <v>278</v>
      </c>
      <c r="B847" s="10" t="s">
        <v>277</v>
      </c>
      <c r="C847" s="13" t="s">
        <v>153</v>
      </c>
      <c r="D847" s="7" t="s">
        <v>1274</v>
      </c>
      <c r="E847" s="2" t="s">
        <v>2</v>
      </c>
      <c r="F847" s="2" t="s">
        <v>3</v>
      </c>
      <c r="G847" s="31"/>
      <c r="I8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7" t="str">
        <f>IF(tb_zakazchik[[#This Row],[Столбец1]]&lt;&gt;"",SUM($I$2:I847),"")</f>
        <v/>
      </c>
      <c r="K847" t="str">
        <f>IF(tb_zakazchik[[#This Row],[Столбец1]]&lt;&gt;"",tb_baza[[#This Row],[Гос. номер]],"")</f>
        <v/>
      </c>
    </row>
    <row r="848" spans="1:11" x14ac:dyDescent="0.25">
      <c r="A848" s="17" t="s">
        <v>817</v>
      </c>
      <c r="B848" s="10" t="s">
        <v>121</v>
      </c>
      <c r="C848" s="13" t="s">
        <v>153</v>
      </c>
      <c r="D848" s="7" t="s">
        <v>1274</v>
      </c>
      <c r="E848" s="2" t="s">
        <v>12</v>
      </c>
      <c r="F848" s="2" t="s">
        <v>13</v>
      </c>
      <c r="G848" s="31"/>
      <c r="I8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8" t="str">
        <f>IF(tb_zakazchik[[#This Row],[Столбец1]]&lt;&gt;"",SUM($I$2:I848),"")</f>
        <v/>
      </c>
      <c r="K848" t="str">
        <f>IF(tb_zakazchik[[#This Row],[Столбец1]]&lt;&gt;"",tb_baza[[#This Row],[Гос. номер]],"")</f>
        <v/>
      </c>
    </row>
    <row r="849" spans="1:11" x14ac:dyDescent="0.25">
      <c r="A849" s="17" t="s">
        <v>834</v>
      </c>
      <c r="B849" s="10" t="s">
        <v>121</v>
      </c>
      <c r="C849" s="13" t="s">
        <v>153</v>
      </c>
      <c r="D849" s="7" t="s">
        <v>1274</v>
      </c>
      <c r="E849" s="2" t="s">
        <v>12</v>
      </c>
      <c r="F849" s="2" t="s">
        <v>13</v>
      </c>
      <c r="G849" s="31"/>
      <c r="I8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49" t="str">
        <f>IF(tb_zakazchik[[#This Row],[Столбец1]]&lt;&gt;"",SUM($I$2:I849),"")</f>
        <v/>
      </c>
      <c r="K849" t="str">
        <f>IF(tb_zakazchik[[#This Row],[Столбец1]]&lt;&gt;"",tb_baza[[#This Row],[Гос. номер]],"")</f>
        <v/>
      </c>
    </row>
    <row r="850" spans="1:11" x14ac:dyDescent="0.25">
      <c r="A850" s="17" t="s">
        <v>896</v>
      </c>
      <c r="B850" s="10" t="s">
        <v>121</v>
      </c>
      <c r="C850" s="13" t="s">
        <v>153</v>
      </c>
      <c r="D850" s="7" t="s">
        <v>1274</v>
      </c>
      <c r="E850" s="2" t="s">
        <v>12</v>
      </c>
      <c r="F850" s="2" t="s">
        <v>13</v>
      </c>
      <c r="G850" s="31"/>
      <c r="I8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0" t="str">
        <f>IF(tb_zakazchik[[#This Row],[Столбец1]]&lt;&gt;"",SUM($I$2:I850),"")</f>
        <v/>
      </c>
      <c r="K850" t="str">
        <f>IF(tb_zakazchik[[#This Row],[Столбец1]]&lt;&gt;"",tb_baza[[#This Row],[Гос. номер]],"")</f>
        <v/>
      </c>
    </row>
    <row r="851" spans="1:11" x14ac:dyDescent="0.25">
      <c r="A851" s="17" t="s">
        <v>835</v>
      </c>
      <c r="B851" s="10" t="s">
        <v>121</v>
      </c>
      <c r="C851" s="13" t="s">
        <v>153</v>
      </c>
      <c r="D851" s="7" t="s">
        <v>1274</v>
      </c>
      <c r="E851" s="2" t="s">
        <v>12</v>
      </c>
      <c r="F851" s="2" t="s">
        <v>13</v>
      </c>
      <c r="G851" s="31"/>
      <c r="I8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1" t="str">
        <f>IF(tb_zakazchik[[#This Row],[Столбец1]]&lt;&gt;"",SUM($I$2:I851),"")</f>
        <v/>
      </c>
      <c r="K851" t="str">
        <f>IF(tb_zakazchik[[#This Row],[Столбец1]]&lt;&gt;"",tb_baza[[#This Row],[Гос. номер]],"")</f>
        <v/>
      </c>
    </row>
    <row r="852" spans="1:11" x14ac:dyDescent="0.25">
      <c r="A852" s="17" t="s">
        <v>836</v>
      </c>
      <c r="B852" s="10" t="s">
        <v>121</v>
      </c>
      <c r="C852" s="13" t="s">
        <v>153</v>
      </c>
      <c r="D852" s="7" t="s">
        <v>1274</v>
      </c>
      <c r="E852" s="2" t="s">
        <v>12</v>
      </c>
      <c r="F852" s="2" t="s">
        <v>13</v>
      </c>
      <c r="G852" s="31"/>
      <c r="I8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2" t="str">
        <f>IF(tb_zakazchik[[#This Row],[Столбец1]]&lt;&gt;"",SUM($I$2:I852),"")</f>
        <v/>
      </c>
      <c r="K852" t="str">
        <f>IF(tb_zakazchik[[#This Row],[Столбец1]]&lt;&gt;"",tb_baza[[#This Row],[Гос. номер]],"")</f>
        <v/>
      </c>
    </row>
    <row r="853" spans="1:11" x14ac:dyDescent="0.25">
      <c r="A853" s="17" t="s">
        <v>948</v>
      </c>
      <c r="B853" s="10" t="s">
        <v>121</v>
      </c>
      <c r="C853" s="13" t="s">
        <v>153</v>
      </c>
      <c r="D853" s="7" t="s">
        <v>1274</v>
      </c>
      <c r="E853" s="2" t="s">
        <v>12</v>
      </c>
      <c r="F853" s="2" t="s">
        <v>13</v>
      </c>
      <c r="G853" s="31"/>
      <c r="I8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3" t="str">
        <f>IF(tb_zakazchik[[#This Row],[Столбец1]]&lt;&gt;"",SUM($I$2:I853),"")</f>
        <v/>
      </c>
      <c r="K853" t="str">
        <f>IF(tb_zakazchik[[#This Row],[Столбец1]]&lt;&gt;"",tb_baza[[#This Row],[Гос. номер]],"")</f>
        <v/>
      </c>
    </row>
    <row r="854" spans="1:11" x14ac:dyDescent="0.25">
      <c r="A854" s="17" t="s">
        <v>837</v>
      </c>
      <c r="B854" s="10" t="s">
        <v>121</v>
      </c>
      <c r="C854" s="13" t="s">
        <v>153</v>
      </c>
      <c r="D854" s="7" t="s">
        <v>1274</v>
      </c>
      <c r="E854" s="2" t="s">
        <v>12</v>
      </c>
      <c r="F854" s="2" t="s">
        <v>13</v>
      </c>
      <c r="G854" s="31"/>
      <c r="I8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4" t="str">
        <f>IF(tb_zakazchik[[#This Row],[Столбец1]]&lt;&gt;"",SUM($I$2:I854),"")</f>
        <v/>
      </c>
      <c r="K854" t="str">
        <f>IF(tb_zakazchik[[#This Row],[Столбец1]]&lt;&gt;"",tb_baza[[#This Row],[Гос. номер]],"")</f>
        <v/>
      </c>
    </row>
    <row r="855" spans="1:11" x14ac:dyDescent="0.25">
      <c r="A855" s="17" t="s">
        <v>848</v>
      </c>
      <c r="B855" s="10" t="s">
        <v>121</v>
      </c>
      <c r="C855" s="13" t="s">
        <v>153</v>
      </c>
      <c r="D855" s="7" t="s">
        <v>1274</v>
      </c>
      <c r="E855" s="2" t="s">
        <v>12</v>
      </c>
      <c r="F855" s="2" t="s">
        <v>13</v>
      </c>
      <c r="G855" s="31"/>
      <c r="I8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5" t="str">
        <f>IF(tb_zakazchik[[#This Row],[Столбец1]]&lt;&gt;"",SUM($I$2:I855),"")</f>
        <v/>
      </c>
      <c r="K855" t="str">
        <f>IF(tb_zakazchik[[#This Row],[Столбец1]]&lt;&gt;"",tb_baza[[#This Row],[Гос. номер]],"")</f>
        <v/>
      </c>
    </row>
    <row r="856" spans="1:11" x14ac:dyDescent="0.25">
      <c r="A856" s="17" t="s">
        <v>849</v>
      </c>
      <c r="B856" s="10" t="s">
        <v>121</v>
      </c>
      <c r="C856" s="13" t="s">
        <v>153</v>
      </c>
      <c r="D856" s="7" t="s">
        <v>1274</v>
      </c>
      <c r="E856" s="2" t="s">
        <v>12</v>
      </c>
      <c r="F856" s="2" t="s">
        <v>13</v>
      </c>
      <c r="G856" s="31"/>
      <c r="I8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6" t="str">
        <f>IF(tb_zakazchik[[#This Row],[Столбец1]]&lt;&gt;"",SUM($I$2:I856),"")</f>
        <v/>
      </c>
      <c r="K856" t="str">
        <f>IF(tb_zakazchik[[#This Row],[Столбец1]]&lt;&gt;"",tb_baza[[#This Row],[Гос. номер]],"")</f>
        <v/>
      </c>
    </row>
    <row r="857" spans="1:11" x14ac:dyDescent="0.25">
      <c r="A857" s="17" t="s">
        <v>850</v>
      </c>
      <c r="B857" s="10" t="s">
        <v>121</v>
      </c>
      <c r="C857" s="13" t="s">
        <v>153</v>
      </c>
      <c r="D857" s="7" t="s">
        <v>1274</v>
      </c>
      <c r="E857" s="2" t="s">
        <v>12</v>
      </c>
      <c r="F857" s="2" t="s">
        <v>13</v>
      </c>
      <c r="G857" s="31"/>
      <c r="I8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7" t="str">
        <f>IF(tb_zakazchik[[#This Row],[Столбец1]]&lt;&gt;"",SUM($I$2:I857),"")</f>
        <v/>
      </c>
      <c r="K857" t="str">
        <f>IF(tb_zakazchik[[#This Row],[Столбец1]]&lt;&gt;"",tb_baza[[#This Row],[Гос. номер]],"")</f>
        <v/>
      </c>
    </row>
    <row r="858" spans="1:11" x14ac:dyDescent="0.25">
      <c r="A858" s="17" t="s">
        <v>851</v>
      </c>
      <c r="B858" s="10" t="s">
        <v>121</v>
      </c>
      <c r="C858" s="13" t="s">
        <v>153</v>
      </c>
      <c r="D858" s="7" t="s">
        <v>1274</v>
      </c>
      <c r="E858" s="2" t="s">
        <v>12</v>
      </c>
      <c r="F858" s="2" t="s">
        <v>13</v>
      </c>
      <c r="G858" s="31"/>
      <c r="I8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8" t="str">
        <f>IF(tb_zakazchik[[#This Row],[Столбец1]]&lt;&gt;"",SUM($I$2:I858),"")</f>
        <v/>
      </c>
      <c r="K858" t="str">
        <f>IF(tb_zakazchik[[#This Row],[Столбец1]]&lt;&gt;"",tb_baza[[#This Row],[Гос. номер]],"")</f>
        <v/>
      </c>
    </row>
    <row r="859" spans="1:11" x14ac:dyDescent="0.25">
      <c r="A859" s="17" t="s">
        <v>130</v>
      </c>
      <c r="B859" s="10" t="s">
        <v>129</v>
      </c>
      <c r="C859" s="13" t="s">
        <v>153</v>
      </c>
      <c r="D859" s="7" t="s">
        <v>1296</v>
      </c>
      <c r="E859" s="2" t="s">
        <v>1306</v>
      </c>
      <c r="F859" s="2" t="s">
        <v>3</v>
      </c>
      <c r="G859" s="31"/>
      <c r="I8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59" t="str">
        <f>IF(tb_zakazchik[[#This Row],[Столбец1]]&lt;&gt;"",SUM($I$2:I859),"")</f>
        <v/>
      </c>
      <c r="K859" t="str">
        <f>IF(tb_zakazchik[[#This Row],[Столбец1]]&lt;&gt;"",tb_baza[[#This Row],[Гос. номер]],"")</f>
        <v/>
      </c>
    </row>
    <row r="860" spans="1:11" x14ac:dyDescent="0.25">
      <c r="A860" s="17" t="s">
        <v>459</v>
      </c>
      <c r="B860" s="10" t="s">
        <v>97</v>
      </c>
      <c r="C860" s="13" t="s">
        <v>153</v>
      </c>
      <c r="D860" s="7" t="s">
        <v>1296</v>
      </c>
      <c r="E860" s="2" t="s">
        <v>1306</v>
      </c>
      <c r="F860" s="2" t="s">
        <v>13</v>
      </c>
      <c r="G860" s="31"/>
      <c r="I8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0" t="str">
        <f>IF(tb_zakazchik[[#This Row],[Столбец1]]&lt;&gt;"",SUM($I$2:I860),"")</f>
        <v/>
      </c>
      <c r="K860" t="str">
        <f>IF(tb_zakazchik[[#This Row],[Столбец1]]&lt;&gt;"",tb_baza[[#This Row],[Гос. номер]],"")</f>
        <v/>
      </c>
    </row>
    <row r="861" spans="1:11" x14ac:dyDescent="0.25">
      <c r="A861" s="17" t="s">
        <v>519</v>
      </c>
      <c r="B861" s="10" t="s">
        <v>97</v>
      </c>
      <c r="C861" s="13" t="s">
        <v>153</v>
      </c>
      <c r="D861" s="7" t="s">
        <v>1296</v>
      </c>
      <c r="E861" s="2" t="s">
        <v>1306</v>
      </c>
      <c r="F861" s="2" t="s">
        <v>13</v>
      </c>
      <c r="G861" s="31"/>
      <c r="I8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1" t="str">
        <f>IF(tb_zakazchik[[#This Row],[Столбец1]]&lt;&gt;"",SUM($I$2:I861),"")</f>
        <v/>
      </c>
      <c r="K861" t="str">
        <f>IF(tb_zakazchik[[#This Row],[Столбец1]]&lt;&gt;"",tb_baza[[#This Row],[Гос. номер]],"")</f>
        <v/>
      </c>
    </row>
    <row r="862" spans="1:11" x14ac:dyDescent="0.25">
      <c r="A862" s="17" t="s">
        <v>860</v>
      </c>
      <c r="B862" s="10" t="s">
        <v>569</v>
      </c>
      <c r="C862" s="13" t="s">
        <v>153</v>
      </c>
      <c r="D862" s="7" t="s">
        <v>1296</v>
      </c>
      <c r="E862" s="2" t="s">
        <v>1306</v>
      </c>
      <c r="F862" s="2" t="s">
        <v>13</v>
      </c>
      <c r="G862" s="31"/>
      <c r="I8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2" t="str">
        <f>IF(tb_zakazchik[[#This Row],[Столбец1]]&lt;&gt;"",SUM($I$2:I862),"")</f>
        <v/>
      </c>
      <c r="K862" t="str">
        <f>IF(tb_zakazchik[[#This Row],[Столбец1]]&lt;&gt;"",tb_baza[[#This Row],[Гос. номер]],"")</f>
        <v/>
      </c>
    </row>
    <row r="863" spans="1:11" x14ac:dyDescent="0.25">
      <c r="A863" s="17" t="s">
        <v>570</v>
      </c>
      <c r="B863" s="10" t="s">
        <v>569</v>
      </c>
      <c r="C863" s="13" t="s">
        <v>153</v>
      </c>
      <c r="D863" s="7" t="s">
        <v>1296</v>
      </c>
      <c r="E863" s="2" t="s">
        <v>1306</v>
      </c>
      <c r="F863" s="2" t="s">
        <v>6</v>
      </c>
      <c r="G863" s="31"/>
      <c r="I8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3" t="str">
        <f>IF(tb_zakazchik[[#This Row],[Столбец1]]&lt;&gt;"",SUM($I$2:I863),"")</f>
        <v/>
      </c>
      <c r="K863" t="str">
        <f>IF(tb_zakazchik[[#This Row],[Столбец1]]&lt;&gt;"",tb_baza[[#This Row],[Гос. номер]],"")</f>
        <v/>
      </c>
    </row>
    <row r="864" spans="1:11" x14ac:dyDescent="0.25">
      <c r="A864" s="17" t="s">
        <v>423</v>
      </c>
      <c r="B864" s="10" t="s">
        <v>422</v>
      </c>
      <c r="C864" s="13" t="s">
        <v>153</v>
      </c>
      <c r="D864" s="7" t="s">
        <v>1296</v>
      </c>
      <c r="E864" s="2" t="s">
        <v>1306</v>
      </c>
      <c r="F864" s="2" t="s">
        <v>13</v>
      </c>
      <c r="G864" s="31"/>
      <c r="I8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4" t="str">
        <f>IF(tb_zakazchik[[#This Row],[Столбец1]]&lt;&gt;"",SUM($I$2:I864),"")</f>
        <v/>
      </c>
      <c r="K864" t="str">
        <f>IF(tb_zakazchik[[#This Row],[Столбец1]]&lt;&gt;"",tb_baza[[#This Row],[Гос. номер]],"")</f>
        <v/>
      </c>
    </row>
    <row r="865" spans="1:11" x14ac:dyDescent="0.25">
      <c r="A865" s="17" t="s">
        <v>512</v>
      </c>
      <c r="B865" s="10" t="s">
        <v>197</v>
      </c>
      <c r="C865" s="13" t="s">
        <v>153</v>
      </c>
      <c r="D865" s="7" t="s">
        <v>1296</v>
      </c>
      <c r="E865" s="2" t="s">
        <v>1307</v>
      </c>
      <c r="F865" s="2" t="s">
        <v>3</v>
      </c>
      <c r="G865" s="31"/>
      <c r="I8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5" t="str">
        <f>IF(tb_zakazchik[[#This Row],[Столбец1]]&lt;&gt;"",SUM($I$2:I865),"")</f>
        <v/>
      </c>
      <c r="K865" t="str">
        <f>IF(tb_zakazchik[[#This Row],[Столбец1]]&lt;&gt;"",tb_baza[[#This Row],[Гос. номер]],"")</f>
        <v/>
      </c>
    </row>
    <row r="866" spans="1:11" x14ac:dyDescent="0.25">
      <c r="A866" s="17" t="s">
        <v>480</v>
      </c>
      <c r="B866" s="10" t="s">
        <v>479</v>
      </c>
      <c r="C866" s="13" t="s">
        <v>153</v>
      </c>
      <c r="D866" s="7" t="s">
        <v>1296</v>
      </c>
      <c r="E866" s="2" t="s">
        <v>1307</v>
      </c>
      <c r="F866" s="2" t="s">
        <v>3</v>
      </c>
      <c r="G866" s="31"/>
      <c r="I8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6" t="str">
        <f>IF(tb_zakazchik[[#This Row],[Столбец1]]&lt;&gt;"",SUM($I$2:I866),"")</f>
        <v/>
      </c>
      <c r="K866" t="str">
        <f>IF(tb_zakazchik[[#This Row],[Столбец1]]&lt;&gt;"",tb_baza[[#This Row],[Гос. номер]],"")</f>
        <v/>
      </c>
    </row>
    <row r="867" spans="1:11" x14ac:dyDescent="0.25">
      <c r="A867" s="17" t="s">
        <v>198</v>
      </c>
      <c r="B867" s="10" t="s">
        <v>197</v>
      </c>
      <c r="C867" s="13" t="s">
        <v>153</v>
      </c>
      <c r="D867" s="7" t="s">
        <v>1296</v>
      </c>
      <c r="E867" s="2" t="s">
        <v>2</v>
      </c>
      <c r="F867" s="2" t="s">
        <v>13</v>
      </c>
      <c r="G867" s="31"/>
      <c r="I8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7" t="str">
        <f>IF(tb_zakazchik[[#This Row],[Столбец1]]&lt;&gt;"",SUM($I$2:I867),"")</f>
        <v/>
      </c>
      <c r="K867" t="str">
        <f>IF(tb_zakazchik[[#This Row],[Столбец1]]&lt;&gt;"",tb_baza[[#This Row],[Гос. номер]],"")</f>
        <v/>
      </c>
    </row>
    <row r="868" spans="1:11" x14ac:dyDescent="0.25">
      <c r="A868" s="17" t="s">
        <v>655</v>
      </c>
      <c r="B868" s="10" t="s">
        <v>654</v>
      </c>
      <c r="C868" s="13" t="s">
        <v>153</v>
      </c>
      <c r="D868" s="7" t="s">
        <v>1269</v>
      </c>
      <c r="E868" s="2" t="s">
        <v>1306</v>
      </c>
      <c r="F868" s="2" t="s">
        <v>3</v>
      </c>
      <c r="G868" s="31"/>
      <c r="I8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8" t="str">
        <f>IF(tb_zakazchik[[#This Row],[Столбец1]]&lt;&gt;"",SUM($I$2:I868),"")</f>
        <v/>
      </c>
      <c r="K868" t="str">
        <f>IF(tb_zakazchik[[#This Row],[Столбец1]]&lt;&gt;"",tb_baza[[#This Row],[Гос. номер]],"")</f>
        <v/>
      </c>
    </row>
    <row r="869" spans="1:11" x14ac:dyDescent="0.25">
      <c r="A869" s="17" t="s">
        <v>515</v>
      </c>
      <c r="B869" s="10" t="s">
        <v>59</v>
      </c>
      <c r="C869" s="13" t="s">
        <v>153</v>
      </c>
      <c r="D869" s="7" t="s">
        <v>1269</v>
      </c>
      <c r="E869" s="2" t="s">
        <v>1306</v>
      </c>
      <c r="F869" s="2" t="s">
        <v>3</v>
      </c>
      <c r="G869" s="31"/>
      <c r="I8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69" t="str">
        <f>IF(tb_zakazchik[[#This Row],[Столбец1]]&lt;&gt;"",SUM($I$2:I869),"")</f>
        <v/>
      </c>
      <c r="K869" t="str">
        <f>IF(tb_zakazchik[[#This Row],[Столбец1]]&lt;&gt;"",tb_baza[[#This Row],[Гос. номер]],"")</f>
        <v/>
      </c>
    </row>
    <row r="870" spans="1:11" x14ac:dyDescent="0.25">
      <c r="A870" s="17" t="s">
        <v>585</v>
      </c>
      <c r="B870" s="10" t="s">
        <v>59</v>
      </c>
      <c r="C870" s="13" t="s">
        <v>153</v>
      </c>
      <c r="D870" s="7" t="s">
        <v>1269</v>
      </c>
      <c r="E870" s="2" t="s">
        <v>1306</v>
      </c>
      <c r="F870" s="2" t="s">
        <v>3</v>
      </c>
      <c r="G870" s="31"/>
      <c r="I8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0" t="str">
        <f>IF(tb_zakazchik[[#This Row],[Столбец1]]&lt;&gt;"",SUM($I$2:I870),"")</f>
        <v/>
      </c>
      <c r="K870" t="str">
        <f>IF(tb_zakazchik[[#This Row],[Столбец1]]&lt;&gt;"",tb_baza[[#This Row],[Гос. номер]],"")</f>
        <v/>
      </c>
    </row>
    <row r="871" spans="1:11" x14ac:dyDescent="0.25">
      <c r="A871" s="17" t="s">
        <v>869</v>
      </c>
      <c r="B871" s="10" t="s">
        <v>194</v>
      </c>
      <c r="C871" s="13" t="s">
        <v>153</v>
      </c>
      <c r="D871" s="7" t="s">
        <v>1269</v>
      </c>
      <c r="E871" s="2" t="s">
        <v>1306</v>
      </c>
      <c r="F871" s="2" t="s">
        <v>13</v>
      </c>
      <c r="G871" s="31"/>
      <c r="I8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1" t="str">
        <f>IF(tb_zakazchik[[#This Row],[Столбец1]]&lt;&gt;"",SUM($I$2:I871),"")</f>
        <v/>
      </c>
      <c r="K871" t="str">
        <f>IF(tb_zakazchik[[#This Row],[Столбец1]]&lt;&gt;"",tb_baza[[#This Row],[Гос. номер]],"")</f>
        <v/>
      </c>
    </row>
    <row r="872" spans="1:11" x14ac:dyDescent="0.25">
      <c r="A872" s="17" t="s">
        <v>566</v>
      </c>
      <c r="B872" s="10" t="s">
        <v>59</v>
      </c>
      <c r="C872" s="13" t="s">
        <v>153</v>
      </c>
      <c r="D872" s="7" t="s">
        <v>1269</v>
      </c>
      <c r="E872" s="2" t="s">
        <v>1306</v>
      </c>
      <c r="F872" s="2" t="s">
        <v>13</v>
      </c>
      <c r="G872" s="31"/>
      <c r="I8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2" t="str">
        <f>IF(tb_zakazchik[[#This Row],[Столбец1]]&lt;&gt;"",SUM($I$2:I872),"")</f>
        <v/>
      </c>
      <c r="K872" t="str">
        <f>IF(tb_zakazchik[[#This Row],[Столбец1]]&lt;&gt;"",tb_baza[[#This Row],[Гос. номер]],"")</f>
        <v/>
      </c>
    </row>
    <row r="873" spans="1:11" x14ac:dyDescent="0.25">
      <c r="A873" s="17" t="s">
        <v>576</v>
      </c>
      <c r="B873" s="10" t="s">
        <v>59</v>
      </c>
      <c r="C873" s="13" t="s">
        <v>153</v>
      </c>
      <c r="D873" s="7" t="s">
        <v>1269</v>
      </c>
      <c r="E873" s="2" t="s">
        <v>1306</v>
      </c>
      <c r="F873" s="2" t="s">
        <v>3</v>
      </c>
      <c r="G873" s="31"/>
      <c r="I8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3" t="str">
        <f>IF(tb_zakazchik[[#This Row],[Столбец1]]&lt;&gt;"",SUM($I$2:I873),"")</f>
        <v/>
      </c>
      <c r="K873" t="str">
        <f>IF(tb_zakazchik[[#This Row],[Столбец1]]&lt;&gt;"",tb_baza[[#This Row],[Гос. номер]],"")</f>
        <v/>
      </c>
    </row>
    <row r="874" spans="1:11" x14ac:dyDescent="0.25">
      <c r="A874" s="17" t="s">
        <v>722</v>
      </c>
      <c r="B874" s="10" t="s">
        <v>194</v>
      </c>
      <c r="C874" s="13" t="s">
        <v>153</v>
      </c>
      <c r="D874" s="7" t="s">
        <v>1269</v>
      </c>
      <c r="E874" s="2" t="s">
        <v>1306</v>
      </c>
      <c r="F874" s="2" t="s">
        <v>13</v>
      </c>
      <c r="G874" s="31"/>
      <c r="I874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>1</v>
      </c>
      <c r="J874">
        <f>IF(tb_zakazchik[[#This Row],[Столбец1]]&lt;&gt;"",SUM($I$2:I874),"")</f>
        <v>1</v>
      </c>
      <c r="K874" t="str">
        <f>IF(tb_zakazchik[[#This Row],[Столбец1]]&lt;&gt;"",tb_baza[[#This Row],[Гос. номер]],"")</f>
        <v>В654ОН 178</v>
      </c>
    </row>
    <row r="875" spans="1:11" x14ac:dyDescent="0.25">
      <c r="A875" s="17" t="s">
        <v>729</v>
      </c>
      <c r="B875" s="10" t="s">
        <v>251</v>
      </c>
      <c r="C875" s="13" t="s">
        <v>153</v>
      </c>
      <c r="D875" s="7" t="s">
        <v>1269</v>
      </c>
      <c r="E875" s="2" t="s">
        <v>1306</v>
      </c>
      <c r="F875" s="2" t="s">
        <v>3</v>
      </c>
      <c r="G875" s="31"/>
      <c r="I8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5" t="str">
        <f>IF(tb_zakazchik[[#This Row],[Столбец1]]&lt;&gt;"",SUM($I$2:I875),"")</f>
        <v/>
      </c>
      <c r="K875" t="str">
        <f>IF(tb_zakazchik[[#This Row],[Столбец1]]&lt;&gt;"",tb_baza[[#This Row],[Гос. номер]],"")</f>
        <v/>
      </c>
    </row>
    <row r="876" spans="1:11" x14ac:dyDescent="0.25">
      <c r="A876" s="17" t="s">
        <v>728</v>
      </c>
      <c r="B876" s="10" t="s">
        <v>194</v>
      </c>
      <c r="C876" s="13" t="s">
        <v>153</v>
      </c>
      <c r="D876" s="7" t="s">
        <v>1269</v>
      </c>
      <c r="E876" s="2" t="s">
        <v>1306</v>
      </c>
      <c r="F876" s="2" t="s">
        <v>6</v>
      </c>
      <c r="G876" s="31"/>
      <c r="I8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6" t="str">
        <f>IF(tb_zakazchik[[#This Row],[Столбец1]]&lt;&gt;"",SUM($I$2:I876),"")</f>
        <v/>
      </c>
      <c r="K876" t="str">
        <f>IF(tb_zakazchik[[#This Row],[Столбец1]]&lt;&gt;"",tb_baza[[#This Row],[Гос. номер]],"")</f>
        <v/>
      </c>
    </row>
    <row r="877" spans="1:11" x14ac:dyDescent="0.25">
      <c r="A877" s="17" t="s">
        <v>482</v>
      </c>
      <c r="B877" s="10" t="s">
        <v>16</v>
      </c>
      <c r="C877" s="13" t="s">
        <v>153</v>
      </c>
      <c r="D877" s="7" t="s">
        <v>1269</v>
      </c>
      <c r="E877" s="2" t="s">
        <v>1306</v>
      </c>
      <c r="F877" s="2" t="s">
        <v>3</v>
      </c>
      <c r="G877" s="31"/>
      <c r="I8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7" t="str">
        <f>IF(tb_zakazchik[[#This Row],[Столбец1]]&lt;&gt;"",SUM($I$2:I877),"")</f>
        <v/>
      </c>
      <c r="K877" t="str">
        <f>IF(tb_zakazchik[[#This Row],[Столбец1]]&lt;&gt;"",tb_baza[[#This Row],[Гос. номер]],"")</f>
        <v/>
      </c>
    </row>
    <row r="878" spans="1:11" x14ac:dyDescent="0.25">
      <c r="A878" s="17" t="s">
        <v>762</v>
      </c>
      <c r="B878" s="10" t="s">
        <v>59</v>
      </c>
      <c r="C878" s="13" t="s">
        <v>153</v>
      </c>
      <c r="D878" s="7" t="s">
        <v>1269</v>
      </c>
      <c r="E878" s="2" t="s">
        <v>1306</v>
      </c>
      <c r="F878" s="2" t="s">
        <v>3</v>
      </c>
      <c r="G878" s="31"/>
      <c r="I8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8" t="str">
        <f>IF(tb_zakazchik[[#This Row],[Столбец1]]&lt;&gt;"",SUM($I$2:I878),"")</f>
        <v/>
      </c>
      <c r="K878" t="str">
        <f>IF(tb_zakazchik[[#This Row],[Столбец1]]&lt;&gt;"",tb_baza[[#This Row],[Гос. номер]],"")</f>
        <v/>
      </c>
    </row>
    <row r="879" spans="1:11" x14ac:dyDescent="0.25">
      <c r="A879" s="17" t="s">
        <v>312</v>
      </c>
      <c r="B879" s="10" t="s">
        <v>59</v>
      </c>
      <c r="C879" s="13" t="s">
        <v>153</v>
      </c>
      <c r="D879" s="7" t="s">
        <v>1269</v>
      </c>
      <c r="E879" s="2" t="s">
        <v>1306</v>
      </c>
      <c r="F879" s="2" t="s">
        <v>3</v>
      </c>
      <c r="G879" s="31"/>
      <c r="I8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79" t="str">
        <f>IF(tb_zakazchik[[#This Row],[Столбец1]]&lt;&gt;"",SUM($I$2:I879),"")</f>
        <v/>
      </c>
      <c r="K879" t="str">
        <f>IF(tb_zakazchik[[#This Row],[Столбец1]]&lt;&gt;"",tb_baza[[#This Row],[Гос. номер]],"")</f>
        <v/>
      </c>
    </row>
    <row r="880" spans="1:11" x14ac:dyDescent="0.25">
      <c r="A880" s="17" t="s">
        <v>545</v>
      </c>
      <c r="B880" s="10" t="s">
        <v>59</v>
      </c>
      <c r="C880" s="13" t="s">
        <v>153</v>
      </c>
      <c r="D880" s="7" t="s">
        <v>1269</v>
      </c>
      <c r="E880" s="2" t="s">
        <v>1306</v>
      </c>
      <c r="F880" s="2" t="s">
        <v>3</v>
      </c>
      <c r="G880" s="31"/>
      <c r="I8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0" t="str">
        <f>IF(tb_zakazchik[[#This Row],[Столбец1]]&lt;&gt;"",SUM($I$2:I880),"")</f>
        <v/>
      </c>
      <c r="K880" t="str">
        <f>IF(tb_zakazchik[[#This Row],[Столбец1]]&lt;&gt;"",tb_baza[[#This Row],[Гос. номер]],"")</f>
        <v/>
      </c>
    </row>
    <row r="881" spans="1:11" x14ac:dyDescent="0.25">
      <c r="A881" s="17" t="s">
        <v>765</v>
      </c>
      <c r="B881" s="10" t="s">
        <v>194</v>
      </c>
      <c r="C881" s="13" t="s">
        <v>153</v>
      </c>
      <c r="D881" s="7" t="s">
        <v>1269</v>
      </c>
      <c r="E881" s="2" t="s">
        <v>1306</v>
      </c>
      <c r="F881" s="2" t="s">
        <v>13</v>
      </c>
      <c r="G881" s="31"/>
      <c r="I8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1" t="str">
        <f>IF(tb_zakazchik[[#This Row],[Столбец1]]&lt;&gt;"",SUM($I$2:I881),"")</f>
        <v/>
      </c>
      <c r="K881" t="str">
        <f>IF(tb_zakazchik[[#This Row],[Столбец1]]&lt;&gt;"",tb_baza[[#This Row],[Гос. номер]],"")</f>
        <v/>
      </c>
    </row>
    <row r="882" spans="1:11" x14ac:dyDescent="0.25">
      <c r="A882" s="17" t="s">
        <v>195</v>
      </c>
      <c r="B882" s="10" t="s">
        <v>194</v>
      </c>
      <c r="C882" s="13" t="s">
        <v>153</v>
      </c>
      <c r="D882" s="7" t="s">
        <v>1269</v>
      </c>
      <c r="E882" s="2" t="s">
        <v>1306</v>
      </c>
      <c r="F882" s="2" t="s">
        <v>6</v>
      </c>
      <c r="G882" s="31"/>
      <c r="I8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2" t="str">
        <f>IF(tb_zakazchik[[#This Row],[Столбец1]]&lt;&gt;"",SUM($I$2:I882),"")</f>
        <v/>
      </c>
      <c r="K882" t="str">
        <f>IF(tb_zakazchik[[#This Row],[Столбец1]]&lt;&gt;"",tb_baza[[#This Row],[Гос. номер]],"")</f>
        <v/>
      </c>
    </row>
    <row r="883" spans="1:11" x14ac:dyDescent="0.25">
      <c r="A883" s="17" t="s">
        <v>411</v>
      </c>
      <c r="B883" s="10" t="s">
        <v>59</v>
      </c>
      <c r="C883" s="13" t="s">
        <v>153</v>
      </c>
      <c r="D883" s="7" t="s">
        <v>1269</v>
      </c>
      <c r="E883" s="2" t="s">
        <v>1306</v>
      </c>
      <c r="F883" s="2" t="s">
        <v>3</v>
      </c>
      <c r="G883" s="31"/>
      <c r="I8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3" t="str">
        <f>IF(tb_zakazchik[[#This Row],[Столбец1]]&lt;&gt;"",SUM($I$2:I883),"")</f>
        <v/>
      </c>
      <c r="K883" t="str">
        <f>IF(tb_zakazchik[[#This Row],[Столбец1]]&lt;&gt;"",tb_baza[[#This Row],[Гос. номер]],"")</f>
        <v/>
      </c>
    </row>
    <row r="884" spans="1:11" x14ac:dyDescent="0.25">
      <c r="A884" s="17" t="s">
        <v>784</v>
      </c>
      <c r="B884" s="10" t="s">
        <v>4</v>
      </c>
      <c r="C884" s="13" t="s">
        <v>153</v>
      </c>
      <c r="D884" s="7" t="s">
        <v>1269</v>
      </c>
      <c r="E884" s="2" t="s">
        <v>1306</v>
      </c>
      <c r="F884" s="2" t="s">
        <v>3</v>
      </c>
      <c r="G884" s="31"/>
      <c r="I8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4" t="str">
        <f>IF(tb_zakazchik[[#This Row],[Столбец1]]&lt;&gt;"",SUM($I$2:I884),"")</f>
        <v/>
      </c>
      <c r="K884" t="str">
        <f>IF(tb_zakazchik[[#This Row],[Столбец1]]&lt;&gt;"",tb_baza[[#This Row],[Гос. номер]],"")</f>
        <v/>
      </c>
    </row>
    <row r="885" spans="1:11" x14ac:dyDescent="0.25">
      <c r="A885" s="17" t="s">
        <v>1035</v>
      </c>
      <c r="B885" s="10" t="s">
        <v>4</v>
      </c>
      <c r="C885" s="13" t="s">
        <v>153</v>
      </c>
      <c r="D885" s="7" t="s">
        <v>1269</v>
      </c>
      <c r="E885" s="2" t="s">
        <v>1306</v>
      </c>
      <c r="F885" s="2" t="s">
        <v>3</v>
      </c>
      <c r="G885" s="31"/>
      <c r="I8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5" t="str">
        <f>IF(tb_zakazchik[[#This Row],[Столбец1]]&lt;&gt;"",SUM($I$2:I885),"")</f>
        <v/>
      </c>
      <c r="K885" t="str">
        <f>IF(tb_zakazchik[[#This Row],[Столбец1]]&lt;&gt;"",tb_baza[[#This Row],[Гос. номер]],"")</f>
        <v/>
      </c>
    </row>
    <row r="886" spans="1:11" ht="20.25" customHeight="1" x14ac:dyDescent="0.25">
      <c r="A886" s="17" t="s">
        <v>249</v>
      </c>
      <c r="B886" s="10" t="s">
        <v>59</v>
      </c>
      <c r="C886" s="13" t="s">
        <v>153</v>
      </c>
      <c r="D886" s="7" t="s">
        <v>1269</v>
      </c>
      <c r="E886" s="2" t="s">
        <v>1306</v>
      </c>
      <c r="F886" s="2" t="s">
        <v>13</v>
      </c>
      <c r="G886" s="31"/>
      <c r="I8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6" t="str">
        <f>IF(tb_zakazchik[[#This Row],[Столбец1]]&lt;&gt;"",SUM($I$2:I886),"")</f>
        <v/>
      </c>
      <c r="K886" t="str">
        <f>IF(tb_zakazchik[[#This Row],[Столбец1]]&lt;&gt;"",tb_baza[[#This Row],[Гос. номер]],"")</f>
        <v/>
      </c>
    </row>
    <row r="887" spans="1:11" x14ac:dyDescent="0.25">
      <c r="A887" s="17" t="s">
        <v>656</v>
      </c>
      <c r="B887" s="10" t="s">
        <v>16</v>
      </c>
      <c r="C887" s="13" t="s">
        <v>153</v>
      </c>
      <c r="D887" s="7" t="s">
        <v>1269</v>
      </c>
      <c r="E887" s="2" t="s">
        <v>1306</v>
      </c>
      <c r="F887" s="2" t="s">
        <v>3</v>
      </c>
      <c r="G887" s="31"/>
      <c r="I8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7" t="str">
        <f>IF(tb_zakazchik[[#This Row],[Столбец1]]&lt;&gt;"",SUM($I$2:I887),"")</f>
        <v/>
      </c>
      <c r="K887" t="str">
        <f>IF(tb_zakazchik[[#This Row],[Столбец1]]&lt;&gt;"",tb_baza[[#This Row],[Гос. номер]],"")</f>
        <v/>
      </c>
    </row>
    <row r="888" spans="1:11" x14ac:dyDescent="0.25">
      <c r="A888" s="17" t="s">
        <v>750</v>
      </c>
      <c r="B888" s="10" t="s">
        <v>59</v>
      </c>
      <c r="C888" s="13" t="s">
        <v>153</v>
      </c>
      <c r="D888" s="7" t="s">
        <v>1269</v>
      </c>
      <c r="E888" s="2" t="s">
        <v>1306</v>
      </c>
      <c r="F888" s="2" t="s">
        <v>3</v>
      </c>
      <c r="G888" s="31"/>
      <c r="I8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8" t="str">
        <f>IF(tb_zakazchik[[#This Row],[Столбец1]]&lt;&gt;"",SUM($I$2:I888),"")</f>
        <v/>
      </c>
      <c r="K888" t="str">
        <f>IF(tb_zakazchik[[#This Row],[Столбец1]]&lt;&gt;"",tb_baza[[#This Row],[Гос. номер]],"")</f>
        <v/>
      </c>
    </row>
    <row r="889" spans="1:11" x14ac:dyDescent="0.25">
      <c r="A889" s="17" t="s">
        <v>148</v>
      </c>
      <c r="B889" s="10" t="s">
        <v>59</v>
      </c>
      <c r="C889" s="13" t="s">
        <v>153</v>
      </c>
      <c r="D889" s="7" t="s">
        <v>1269</v>
      </c>
      <c r="E889" s="2" t="s">
        <v>1306</v>
      </c>
      <c r="F889" s="2" t="s">
        <v>3</v>
      </c>
      <c r="G889" s="31"/>
      <c r="I8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89" t="str">
        <f>IF(tb_zakazchik[[#This Row],[Столбец1]]&lt;&gt;"",SUM($I$2:I889),"")</f>
        <v/>
      </c>
      <c r="K889" t="str">
        <f>IF(tb_zakazchik[[#This Row],[Столбец1]]&lt;&gt;"",tb_baza[[#This Row],[Гос. номер]],"")</f>
        <v/>
      </c>
    </row>
    <row r="890" spans="1:11" x14ac:dyDescent="0.25">
      <c r="A890" s="17" t="s">
        <v>428</v>
      </c>
      <c r="B890" s="10" t="s">
        <v>59</v>
      </c>
      <c r="C890" s="13" t="s">
        <v>153</v>
      </c>
      <c r="D890" s="7" t="s">
        <v>1269</v>
      </c>
      <c r="E890" s="2" t="s">
        <v>1306</v>
      </c>
      <c r="F890" s="2" t="s">
        <v>3</v>
      </c>
      <c r="G890" s="31"/>
      <c r="I8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0" t="str">
        <f>IF(tb_zakazchik[[#This Row],[Столбец1]]&lt;&gt;"",SUM($I$2:I890),"")</f>
        <v/>
      </c>
      <c r="K890" t="str">
        <f>IF(tb_zakazchik[[#This Row],[Столбец1]]&lt;&gt;"",tb_baza[[#This Row],[Гос. номер]],"")</f>
        <v/>
      </c>
    </row>
    <row r="891" spans="1:11" x14ac:dyDescent="0.25">
      <c r="A891" s="17" t="s">
        <v>759</v>
      </c>
      <c r="B891" s="10" t="s">
        <v>59</v>
      </c>
      <c r="C891" s="13" t="s">
        <v>153</v>
      </c>
      <c r="D891" s="7" t="s">
        <v>1269</v>
      </c>
      <c r="E891" s="2" t="s">
        <v>1306</v>
      </c>
      <c r="F891" s="2" t="s">
        <v>3</v>
      </c>
      <c r="G891" s="31"/>
      <c r="I8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1" t="str">
        <f>IF(tb_zakazchik[[#This Row],[Столбец1]]&lt;&gt;"",SUM($I$2:I891),"")</f>
        <v/>
      </c>
      <c r="K891" t="str">
        <f>IF(tb_zakazchik[[#This Row],[Столбец1]]&lt;&gt;"",tb_baza[[#This Row],[Гос. номер]],"")</f>
        <v/>
      </c>
    </row>
    <row r="892" spans="1:11" x14ac:dyDescent="0.25">
      <c r="A892" s="17" t="s">
        <v>426</v>
      </c>
      <c r="B892" s="10" t="s">
        <v>59</v>
      </c>
      <c r="C892" s="13" t="s">
        <v>153</v>
      </c>
      <c r="D892" s="7" t="s">
        <v>1269</v>
      </c>
      <c r="E892" s="2" t="s">
        <v>1306</v>
      </c>
      <c r="F892" s="2" t="s">
        <v>13</v>
      </c>
      <c r="G892" s="31"/>
      <c r="I8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2" t="str">
        <f>IF(tb_zakazchik[[#This Row],[Столбец1]]&lt;&gt;"",SUM($I$2:I892),"")</f>
        <v/>
      </c>
      <c r="K892" t="str">
        <f>IF(tb_zakazchik[[#This Row],[Столбец1]]&lt;&gt;"",tb_baza[[#This Row],[Гос. номер]],"")</f>
        <v/>
      </c>
    </row>
    <row r="893" spans="1:11" x14ac:dyDescent="0.25">
      <c r="A893" s="17" t="s">
        <v>730</v>
      </c>
      <c r="B893" s="10" t="s">
        <v>194</v>
      </c>
      <c r="C893" s="13" t="s">
        <v>153</v>
      </c>
      <c r="D893" s="7" t="s">
        <v>1269</v>
      </c>
      <c r="E893" s="2" t="s">
        <v>1306</v>
      </c>
      <c r="F893" s="2" t="s">
        <v>13</v>
      </c>
      <c r="G893" s="31"/>
      <c r="I8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3" t="str">
        <f>IF(tb_zakazchik[[#This Row],[Столбец1]]&lt;&gt;"",SUM($I$2:I893),"")</f>
        <v/>
      </c>
      <c r="K893" t="str">
        <f>IF(tb_zakazchik[[#This Row],[Столбец1]]&lt;&gt;"",tb_baza[[#This Row],[Гос. номер]],"")</f>
        <v/>
      </c>
    </row>
    <row r="894" spans="1:11" x14ac:dyDescent="0.25">
      <c r="A894" s="17" t="s">
        <v>970</v>
      </c>
      <c r="B894" s="10" t="s">
        <v>194</v>
      </c>
      <c r="C894" s="13" t="s">
        <v>153</v>
      </c>
      <c r="D894" s="7" t="s">
        <v>1269</v>
      </c>
      <c r="E894" s="2" t="s">
        <v>1306</v>
      </c>
      <c r="F894" s="2" t="s">
        <v>3</v>
      </c>
      <c r="G894" s="31"/>
      <c r="I8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4" t="str">
        <f>IF(tb_zakazchik[[#This Row],[Столбец1]]&lt;&gt;"",SUM($I$2:I894),"")</f>
        <v/>
      </c>
      <c r="K894" t="str">
        <f>IF(tb_zakazchik[[#This Row],[Столбец1]]&lt;&gt;"",tb_baza[[#This Row],[Гос. номер]],"")</f>
        <v/>
      </c>
    </row>
    <row r="895" spans="1:11" x14ac:dyDescent="0.25">
      <c r="A895" s="17" t="s">
        <v>718</v>
      </c>
      <c r="B895" s="10" t="s">
        <v>251</v>
      </c>
      <c r="C895" s="13" t="s">
        <v>153</v>
      </c>
      <c r="D895" s="7" t="s">
        <v>1269</v>
      </c>
      <c r="E895" s="2" t="s">
        <v>1306</v>
      </c>
      <c r="F895" s="2" t="s">
        <v>3</v>
      </c>
      <c r="G895" s="31"/>
      <c r="I8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5" t="str">
        <f>IF(tb_zakazchik[[#This Row],[Столбец1]]&lt;&gt;"",SUM($I$2:I895),"")</f>
        <v/>
      </c>
      <c r="K895" t="str">
        <f>IF(tb_zakazchik[[#This Row],[Столбец1]]&lt;&gt;"",tb_baza[[#This Row],[Гос. номер]],"")</f>
        <v/>
      </c>
    </row>
    <row r="896" spans="1:11" x14ac:dyDescent="0.25">
      <c r="A896" s="17" t="s">
        <v>721</v>
      </c>
      <c r="B896" s="10" t="s">
        <v>194</v>
      </c>
      <c r="C896" s="13" t="s">
        <v>153</v>
      </c>
      <c r="D896" s="7" t="s">
        <v>1269</v>
      </c>
      <c r="E896" s="2" t="s">
        <v>1306</v>
      </c>
      <c r="F896" s="2" t="s">
        <v>13</v>
      </c>
      <c r="G896" s="31"/>
      <c r="I8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6" t="str">
        <f>IF(tb_zakazchik[[#This Row],[Столбец1]]&lt;&gt;"",SUM($I$2:I896),"")</f>
        <v/>
      </c>
      <c r="K896" t="str">
        <f>IF(tb_zakazchik[[#This Row],[Столбец1]]&lt;&gt;"",tb_baza[[#This Row],[Гос. номер]],"")</f>
        <v/>
      </c>
    </row>
    <row r="897" spans="1:11" x14ac:dyDescent="0.25">
      <c r="A897" s="17" t="s">
        <v>460</v>
      </c>
      <c r="B897" s="10" t="s">
        <v>16</v>
      </c>
      <c r="C897" s="13" t="s">
        <v>153</v>
      </c>
      <c r="D897" s="7" t="s">
        <v>1269</v>
      </c>
      <c r="E897" s="2" t="s">
        <v>1306</v>
      </c>
      <c r="F897" s="2" t="s">
        <v>3</v>
      </c>
      <c r="G897" s="31"/>
      <c r="I8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7" t="str">
        <f>IF(tb_zakazchik[[#This Row],[Столбец1]]&lt;&gt;"",SUM($I$2:I897),"")</f>
        <v/>
      </c>
      <c r="K897" t="str">
        <f>IF(tb_zakazchik[[#This Row],[Столбец1]]&lt;&gt;"",tb_baza[[#This Row],[Гос. номер]],"")</f>
        <v/>
      </c>
    </row>
    <row r="898" spans="1:11" x14ac:dyDescent="0.25">
      <c r="A898" s="17" t="s">
        <v>791</v>
      </c>
      <c r="B898" s="10" t="s">
        <v>16</v>
      </c>
      <c r="C898" s="13" t="s">
        <v>153</v>
      </c>
      <c r="D898" s="7" t="s">
        <v>1269</v>
      </c>
      <c r="E898" s="2" t="s">
        <v>1306</v>
      </c>
      <c r="F898" s="2" t="s">
        <v>3</v>
      </c>
      <c r="G898" s="31"/>
      <c r="I8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8" t="str">
        <f>IF(tb_zakazchik[[#This Row],[Столбец1]]&lt;&gt;"",SUM($I$2:I898),"")</f>
        <v/>
      </c>
      <c r="K898" t="str">
        <f>IF(tb_zakazchik[[#This Row],[Столбец1]]&lt;&gt;"",tb_baza[[#This Row],[Гос. номер]],"")</f>
        <v/>
      </c>
    </row>
    <row r="899" spans="1:11" x14ac:dyDescent="0.25">
      <c r="A899" s="17" t="s">
        <v>549</v>
      </c>
      <c r="B899" s="10" t="s">
        <v>59</v>
      </c>
      <c r="C899" s="13" t="s">
        <v>153</v>
      </c>
      <c r="D899" s="7" t="s">
        <v>1269</v>
      </c>
      <c r="E899" s="2" t="s">
        <v>1306</v>
      </c>
      <c r="F899" s="2" t="s">
        <v>3</v>
      </c>
      <c r="G899" s="31"/>
      <c r="I8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899" t="str">
        <f>IF(tb_zakazchik[[#This Row],[Столбец1]]&lt;&gt;"",SUM($I$2:I899),"")</f>
        <v/>
      </c>
      <c r="K899" t="str">
        <f>IF(tb_zakazchik[[#This Row],[Столбец1]]&lt;&gt;"",tb_baza[[#This Row],[Гос. номер]],"")</f>
        <v/>
      </c>
    </row>
    <row r="900" spans="1:11" x14ac:dyDescent="0.25">
      <c r="A900" s="17" t="s">
        <v>783</v>
      </c>
      <c r="B900" s="10" t="s">
        <v>4</v>
      </c>
      <c r="C900" s="13" t="s">
        <v>153</v>
      </c>
      <c r="D900" s="7" t="s">
        <v>1269</v>
      </c>
      <c r="E900" s="2" t="s">
        <v>1306</v>
      </c>
      <c r="F900" s="2" t="s">
        <v>3</v>
      </c>
      <c r="G900" s="31"/>
      <c r="I9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0" t="str">
        <f>IF(tb_zakazchik[[#This Row],[Столбец1]]&lt;&gt;"",SUM($I$2:I900),"")</f>
        <v/>
      </c>
      <c r="K900" t="str">
        <f>IF(tb_zakazchik[[#This Row],[Столбец1]]&lt;&gt;"",tb_baza[[#This Row],[Гос. номер]],"")</f>
        <v/>
      </c>
    </row>
    <row r="901" spans="1:11" x14ac:dyDescent="0.25">
      <c r="A901" s="17" t="s">
        <v>953</v>
      </c>
      <c r="B901" s="10" t="s">
        <v>4</v>
      </c>
      <c r="C901" s="13" t="s">
        <v>153</v>
      </c>
      <c r="D901" s="7" t="s">
        <v>1269</v>
      </c>
      <c r="E901" s="2" t="s">
        <v>1306</v>
      </c>
      <c r="F901" s="2" t="s">
        <v>3</v>
      </c>
      <c r="G901" s="31"/>
      <c r="I9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1" t="str">
        <f>IF(tb_zakazchik[[#This Row],[Столбец1]]&lt;&gt;"",SUM($I$2:I901),"")</f>
        <v/>
      </c>
      <c r="K901" t="str">
        <f>IF(tb_zakazchik[[#This Row],[Столбец1]]&lt;&gt;"",tb_baza[[#This Row],[Гос. номер]],"")</f>
        <v/>
      </c>
    </row>
    <row r="902" spans="1:11" x14ac:dyDescent="0.25">
      <c r="A902" s="17" t="s">
        <v>421</v>
      </c>
      <c r="B902" s="10" t="s">
        <v>16</v>
      </c>
      <c r="C902" s="13" t="s">
        <v>153</v>
      </c>
      <c r="D902" s="7" t="s">
        <v>1269</v>
      </c>
      <c r="E902" s="2" t="s">
        <v>1306</v>
      </c>
      <c r="F902" s="2" t="s">
        <v>13</v>
      </c>
      <c r="G902" s="31"/>
      <c r="I9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2" t="str">
        <f>IF(tb_zakazchik[[#This Row],[Столбец1]]&lt;&gt;"",SUM($I$2:I902),"")</f>
        <v/>
      </c>
      <c r="K902" t="str">
        <f>IF(tb_zakazchik[[#This Row],[Столбец1]]&lt;&gt;"",tb_baza[[#This Row],[Гос. номер]],"")</f>
        <v/>
      </c>
    </row>
    <row r="903" spans="1:11" x14ac:dyDescent="0.25">
      <c r="A903" s="17" t="s">
        <v>798</v>
      </c>
      <c r="B903" s="10" t="s">
        <v>59</v>
      </c>
      <c r="C903" s="13" t="s">
        <v>153</v>
      </c>
      <c r="D903" s="7" t="s">
        <v>1269</v>
      </c>
      <c r="E903" s="2" t="s">
        <v>1306</v>
      </c>
      <c r="F903" s="2" t="s">
        <v>6</v>
      </c>
      <c r="G903" s="31"/>
      <c r="I9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3" t="str">
        <f>IF(tb_zakazchik[[#This Row],[Столбец1]]&lt;&gt;"",SUM($I$2:I903),"")</f>
        <v/>
      </c>
      <c r="K903" t="str">
        <f>IF(tb_zakazchik[[#This Row],[Столбец1]]&lt;&gt;"",tb_baza[[#This Row],[Гос. номер]],"")</f>
        <v/>
      </c>
    </row>
    <row r="904" spans="1:11" x14ac:dyDescent="0.25">
      <c r="A904" s="17" t="s">
        <v>190</v>
      </c>
      <c r="B904" s="10" t="s">
        <v>59</v>
      </c>
      <c r="C904" s="13" t="s">
        <v>153</v>
      </c>
      <c r="D904" s="7" t="s">
        <v>1269</v>
      </c>
      <c r="E904" s="2" t="s">
        <v>1306</v>
      </c>
      <c r="F904" s="2" t="s">
        <v>3</v>
      </c>
      <c r="G904" s="31"/>
      <c r="I9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4" t="str">
        <f>IF(tb_zakazchik[[#This Row],[Столбец1]]&lt;&gt;"",SUM($I$2:I904),"")</f>
        <v/>
      </c>
      <c r="K904" t="str">
        <f>IF(tb_zakazchik[[#This Row],[Столбец1]]&lt;&gt;"",tb_baza[[#This Row],[Гос. номер]],"")</f>
        <v/>
      </c>
    </row>
    <row r="905" spans="1:11" x14ac:dyDescent="0.25">
      <c r="A905" s="17" t="s">
        <v>394</v>
      </c>
      <c r="B905" s="10" t="s">
        <v>59</v>
      </c>
      <c r="C905" s="13" t="s">
        <v>153</v>
      </c>
      <c r="D905" s="7" t="s">
        <v>1269</v>
      </c>
      <c r="E905" s="2" t="s">
        <v>1306</v>
      </c>
      <c r="F905" s="2" t="s">
        <v>3</v>
      </c>
      <c r="G905" s="31"/>
      <c r="I9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5" t="str">
        <f>IF(tb_zakazchik[[#This Row],[Столбец1]]&lt;&gt;"",SUM($I$2:I905),"")</f>
        <v/>
      </c>
      <c r="K905" t="str">
        <f>IF(tb_zakazchik[[#This Row],[Столбец1]]&lt;&gt;"",tb_baza[[#This Row],[Гос. номер]],"")</f>
        <v/>
      </c>
    </row>
    <row r="906" spans="1:11" x14ac:dyDescent="0.25">
      <c r="A906" s="17" t="s">
        <v>95</v>
      </c>
      <c r="B906" s="10" t="s">
        <v>59</v>
      </c>
      <c r="C906" s="13" t="s">
        <v>153</v>
      </c>
      <c r="D906" s="7" t="s">
        <v>1269</v>
      </c>
      <c r="E906" s="2" t="s">
        <v>1306</v>
      </c>
      <c r="F906" s="2" t="s">
        <v>3</v>
      </c>
      <c r="G906" s="31"/>
      <c r="I9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6" t="str">
        <f>IF(tb_zakazchik[[#This Row],[Столбец1]]&lt;&gt;"",SUM($I$2:I906),"")</f>
        <v/>
      </c>
      <c r="K906" t="str">
        <f>IF(tb_zakazchik[[#This Row],[Столбец1]]&lt;&gt;"",tb_baza[[#This Row],[Гос. номер]],"")</f>
        <v/>
      </c>
    </row>
    <row r="907" spans="1:11" x14ac:dyDescent="0.25">
      <c r="A907" s="17" t="s">
        <v>281</v>
      </c>
      <c r="B907" s="10" t="s">
        <v>59</v>
      </c>
      <c r="C907" s="13" t="s">
        <v>153</v>
      </c>
      <c r="D907" s="7" t="s">
        <v>1269</v>
      </c>
      <c r="E907" s="2" t="s">
        <v>1306</v>
      </c>
      <c r="F907" s="2" t="s">
        <v>13</v>
      </c>
      <c r="G907" s="31"/>
      <c r="I9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7" t="str">
        <f>IF(tb_zakazchik[[#This Row],[Столбец1]]&lt;&gt;"",SUM($I$2:I907),"")</f>
        <v/>
      </c>
      <c r="K907" t="str">
        <f>IF(tb_zakazchik[[#This Row],[Столбец1]]&lt;&gt;"",tb_baza[[#This Row],[Гос. номер]],"")</f>
        <v/>
      </c>
    </row>
    <row r="908" spans="1:11" x14ac:dyDescent="0.25">
      <c r="A908" s="17" t="s">
        <v>770</v>
      </c>
      <c r="B908" s="10" t="s">
        <v>194</v>
      </c>
      <c r="C908" s="13" t="s">
        <v>153</v>
      </c>
      <c r="D908" s="7" t="s">
        <v>1269</v>
      </c>
      <c r="E908" s="2" t="s">
        <v>1306</v>
      </c>
      <c r="F908" s="2" t="s">
        <v>3</v>
      </c>
      <c r="G908" s="31"/>
      <c r="I9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8" t="str">
        <f>IF(tb_zakazchik[[#This Row],[Столбец1]]&lt;&gt;"",SUM($I$2:I908),"")</f>
        <v/>
      </c>
      <c r="K908" t="str">
        <f>IF(tb_zakazchik[[#This Row],[Столбец1]]&lt;&gt;"",tb_baza[[#This Row],[Гос. номер]],"")</f>
        <v/>
      </c>
    </row>
    <row r="909" spans="1:11" x14ac:dyDescent="0.25">
      <c r="A909" s="17" t="s">
        <v>727</v>
      </c>
      <c r="B909" s="10" t="s">
        <v>194</v>
      </c>
      <c r="C909" s="13" t="s">
        <v>153</v>
      </c>
      <c r="D909" s="7" t="s">
        <v>1269</v>
      </c>
      <c r="E909" s="2" t="s">
        <v>1306</v>
      </c>
      <c r="F909" s="2" t="s">
        <v>3</v>
      </c>
      <c r="G909" s="31"/>
      <c r="I9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09" t="str">
        <f>IF(tb_zakazchik[[#This Row],[Столбец1]]&lt;&gt;"",SUM($I$2:I909),"")</f>
        <v/>
      </c>
      <c r="K909" t="str">
        <f>IF(tb_zakazchik[[#This Row],[Столбец1]]&lt;&gt;"",tb_baza[[#This Row],[Гос. номер]],"")</f>
        <v/>
      </c>
    </row>
    <row r="910" spans="1:11" x14ac:dyDescent="0.25">
      <c r="A910" s="17" t="s">
        <v>954</v>
      </c>
      <c r="B910" s="10" t="s">
        <v>4</v>
      </c>
      <c r="C910" s="13" t="s">
        <v>153</v>
      </c>
      <c r="D910" s="7" t="s">
        <v>1269</v>
      </c>
      <c r="E910" s="2" t="s">
        <v>1306</v>
      </c>
      <c r="F910" s="2" t="s">
        <v>3</v>
      </c>
      <c r="G910" s="31"/>
      <c r="I9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0" t="str">
        <f>IF(tb_zakazchik[[#This Row],[Столбец1]]&lt;&gt;"",SUM($I$2:I910),"")</f>
        <v/>
      </c>
      <c r="K910" t="str">
        <f>IF(tb_zakazchik[[#This Row],[Столбец1]]&lt;&gt;"",tb_baza[[#This Row],[Гос. номер]],"")</f>
        <v/>
      </c>
    </row>
    <row r="911" spans="1:11" x14ac:dyDescent="0.25">
      <c r="A911" s="17" t="s">
        <v>229</v>
      </c>
      <c r="B911" s="10" t="s">
        <v>59</v>
      </c>
      <c r="C911" s="13" t="s">
        <v>153</v>
      </c>
      <c r="D911" s="7" t="s">
        <v>1269</v>
      </c>
      <c r="E911" s="2" t="s">
        <v>1306</v>
      </c>
      <c r="F911" s="2" t="s">
        <v>13</v>
      </c>
      <c r="G911" s="31"/>
      <c r="I9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1" t="str">
        <f>IF(tb_zakazchik[[#This Row],[Столбец1]]&lt;&gt;"",SUM($I$2:I911),"")</f>
        <v/>
      </c>
      <c r="K911" t="str">
        <f>IF(tb_zakazchik[[#This Row],[Столбец1]]&lt;&gt;"",tb_baza[[#This Row],[Гос. номер]],"")</f>
        <v/>
      </c>
    </row>
    <row r="912" spans="1:11" x14ac:dyDescent="0.25">
      <c r="A912" s="17" t="s">
        <v>550</v>
      </c>
      <c r="B912" s="10" t="s">
        <v>59</v>
      </c>
      <c r="C912" s="13" t="s">
        <v>153</v>
      </c>
      <c r="D912" s="7" t="s">
        <v>1269</v>
      </c>
      <c r="E912" s="2" t="s">
        <v>1306</v>
      </c>
      <c r="F912" s="2" t="s">
        <v>6</v>
      </c>
      <c r="G912" s="31"/>
      <c r="I9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2" t="str">
        <f>IF(tb_zakazchik[[#This Row],[Столбец1]]&lt;&gt;"",SUM($I$2:I912),"")</f>
        <v/>
      </c>
      <c r="K912" t="str">
        <f>IF(tb_zakazchik[[#This Row],[Столбец1]]&lt;&gt;"",tb_baza[[#This Row],[Гос. номер]],"")</f>
        <v/>
      </c>
    </row>
    <row r="913" spans="1:11" x14ac:dyDescent="0.25">
      <c r="A913" s="17" t="s">
        <v>154</v>
      </c>
      <c r="B913" s="10" t="s">
        <v>59</v>
      </c>
      <c r="C913" s="13" t="s">
        <v>153</v>
      </c>
      <c r="D913" s="7" t="s">
        <v>1269</v>
      </c>
      <c r="E913" s="2" t="s">
        <v>1306</v>
      </c>
      <c r="F913" s="2" t="s">
        <v>3</v>
      </c>
      <c r="G913" s="31"/>
      <c r="I9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3" t="str">
        <f>IF(tb_zakazchik[[#This Row],[Столбец1]]&lt;&gt;"",SUM($I$2:I913),"")</f>
        <v/>
      </c>
      <c r="K913" t="str">
        <f>IF(tb_zakazchik[[#This Row],[Столбец1]]&lt;&gt;"",tb_baza[[#This Row],[Гос. номер]],"")</f>
        <v/>
      </c>
    </row>
    <row r="914" spans="1:11" x14ac:dyDescent="0.25">
      <c r="A914" s="17" t="s">
        <v>404</v>
      </c>
      <c r="B914" s="10" t="s">
        <v>59</v>
      </c>
      <c r="C914" s="13" t="s">
        <v>153</v>
      </c>
      <c r="D914" s="7" t="s">
        <v>1269</v>
      </c>
      <c r="E914" s="2" t="s">
        <v>1306</v>
      </c>
      <c r="F914" s="2" t="s">
        <v>13</v>
      </c>
      <c r="G914" s="31"/>
      <c r="I9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4" t="str">
        <f>IF(tb_zakazchik[[#This Row],[Столбец1]]&lt;&gt;"",SUM($I$2:I914),"")</f>
        <v/>
      </c>
      <c r="K914" t="str">
        <f>IF(tb_zakazchik[[#This Row],[Столбец1]]&lt;&gt;"",tb_baza[[#This Row],[Гос. номер]],"")</f>
        <v/>
      </c>
    </row>
    <row r="915" spans="1:11" x14ac:dyDescent="0.25">
      <c r="A915" s="17" t="s">
        <v>94</v>
      </c>
      <c r="B915" s="10" t="s">
        <v>59</v>
      </c>
      <c r="C915" s="13" t="s">
        <v>153</v>
      </c>
      <c r="D915" s="7" t="s">
        <v>1269</v>
      </c>
      <c r="E915" s="2" t="s">
        <v>1306</v>
      </c>
      <c r="F915" s="2" t="s">
        <v>13</v>
      </c>
      <c r="G915" s="31"/>
      <c r="I9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5" t="str">
        <f>IF(tb_zakazchik[[#This Row],[Столбец1]]&lt;&gt;"",SUM($I$2:I915),"")</f>
        <v/>
      </c>
      <c r="K915" t="str">
        <f>IF(tb_zakazchik[[#This Row],[Столбец1]]&lt;&gt;"",tb_baza[[#This Row],[Гос. номер]],"")</f>
        <v/>
      </c>
    </row>
    <row r="916" spans="1:11" x14ac:dyDescent="0.25">
      <c r="A916" s="17" t="s">
        <v>583</v>
      </c>
      <c r="B916" s="10" t="s">
        <v>59</v>
      </c>
      <c r="C916" s="13" t="s">
        <v>153</v>
      </c>
      <c r="D916" s="7" t="s">
        <v>1269</v>
      </c>
      <c r="E916" s="2" t="s">
        <v>1306</v>
      </c>
      <c r="F916" s="2" t="s">
        <v>13</v>
      </c>
      <c r="G916" s="31"/>
      <c r="I9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6" t="str">
        <f>IF(tb_zakazchik[[#This Row],[Столбец1]]&lt;&gt;"",SUM($I$2:I916),"")</f>
        <v/>
      </c>
      <c r="K916" t="str">
        <f>IF(tb_zakazchik[[#This Row],[Столбец1]]&lt;&gt;"",tb_baza[[#This Row],[Гос. номер]],"")</f>
        <v/>
      </c>
    </row>
    <row r="917" spans="1:11" x14ac:dyDescent="0.25">
      <c r="A917" s="17" t="s">
        <v>956</v>
      </c>
      <c r="B917" s="10" t="s">
        <v>4</v>
      </c>
      <c r="C917" s="13" t="s">
        <v>153</v>
      </c>
      <c r="D917" s="7" t="s">
        <v>1269</v>
      </c>
      <c r="E917" s="2" t="s">
        <v>1306</v>
      </c>
      <c r="F917" s="2" t="s">
        <v>3</v>
      </c>
      <c r="G917" s="31"/>
      <c r="I9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7" t="str">
        <f>IF(tb_zakazchik[[#This Row],[Столбец1]]&lt;&gt;"",SUM($I$2:I917),"")</f>
        <v/>
      </c>
      <c r="K917" t="str">
        <f>IF(tb_zakazchik[[#This Row],[Столбец1]]&lt;&gt;"",tb_baza[[#This Row],[Гос. номер]],"")</f>
        <v/>
      </c>
    </row>
    <row r="918" spans="1:11" x14ac:dyDescent="0.25">
      <c r="A918" s="17" t="s">
        <v>601</v>
      </c>
      <c r="B918" s="10" t="s">
        <v>59</v>
      </c>
      <c r="C918" s="13" t="s">
        <v>153</v>
      </c>
      <c r="D918" s="7" t="s">
        <v>1269</v>
      </c>
      <c r="E918" s="2" t="s">
        <v>1306</v>
      </c>
      <c r="F918" s="2" t="s">
        <v>6</v>
      </c>
      <c r="G918" s="31"/>
      <c r="I9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8" t="str">
        <f>IF(tb_zakazchik[[#This Row],[Столбец1]]&lt;&gt;"",SUM($I$2:I918),"")</f>
        <v/>
      </c>
      <c r="K918" t="str">
        <f>IF(tb_zakazchik[[#This Row],[Столбец1]]&lt;&gt;"",tb_baza[[#This Row],[Гос. номер]],"")</f>
        <v/>
      </c>
    </row>
    <row r="919" spans="1:11" x14ac:dyDescent="0.25">
      <c r="A919" s="17" t="s">
        <v>431</v>
      </c>
      <c r="B919" s="10" t="s">
        <v>16</v>
      </c>
      <c r="C919" s="13" t="s">
        <v>153</v>
      </c>
      <c r="D919" s="7" t="s">
        <v>1269</v>
      </c>
      <c r="E919" s="2" t="s">
        <v>1306</v>
      </c>
      <c r="F919" s="2" t="s">
        <v>3</v>
      </c>
      <c r="G919" s="31"/>
      <c r="I9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19" t="str">
        <f>IF(tb_zakazchik[[#This Row],[Столбец1]]&lt;&gt;"",SUM($I$2:I919),"")</f>
        <v/>
      </c>
      <c r="K919" t="str">
        <f>IF(tb_zakazchik[[#This Row],[Столбец1]]&lt;&gt;"",tb_baza[[#This Row],[Гос. номер]],"")</f>
        <v/>
      </c>
    </row>
    <row r="920" spans="1:11" x14ac:dyDescent="0.25">
      <c r="A920" s="17" t="s">
        <v>425</v>
      </c>
      <c r="B920" s="10" t="s">
        <v>424</v>
      </c>
      <c r="C920" s="13" t="s">
        <v>153</v>
      </c>
      <c r="D920" s="7" t="s">
        <v>1269</v>
      </c>
      <c r="E920" s="2" t="s">
        <v>1306</v>
      </c>
      <c r="F920" s="2" t="s">
        <v>3</v>
      </c>
      <c r="G920" s="31"/>
      <c r="I9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0" t="str">
        <f>IF(tb_zakazchik[[#This Row],[Столбец1]]&lt;&gt;"",SUM($I$2:I920),"")</f>
        <v/>
      </c>
      <c r="K920" t="str">
        <f>IF(tb_zakazchik[[#This Row],[Столбец1]]&lt;&gt;"",tb_baza[[#This Row],[Гос. номер]],"")</f>
        <v/>
      </c>
    </row>
    <row r="921" spans="1:11" x14ac:dyDescent="0.25">
      <c r="A921" s="17" t="s">
        <v>575</v>
      </c>
      <c r="B921" s="10" t="s">
        <v>59</v>
      </c>
      <c r="C921" s="13" t="s">
        <v>153</v>
      </c>
      <c r="D921" s="7" t="s">
        <v>1269</v>
      </c>
      <c r="E921" s="2" t="s">
        <v>1306</v>
      </c>
      <c r="F921" s="2" t="s">
        <v>3</v>
      </c>
      <c r="G921" s="31"/>
      <c r="I9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1" t="str">
        <f>IF(tb_zakazchik[[#This Row],[Столбец1]]&lt;&gt;"",SUM($I$2:I921),"")</f>
        <v/>
      </c>
      <c r="K921" t="str">
        <f>IF(tb_zakazchik[[#This Row],[Столбец1]]&lt;&gt;"",tb_baza[[#This Row],[Гос. номер]],"")</f>
        <v/>
      </c>
    </row>
    <row r="922" spans="1:11" x14ac:dyDescent="0.25">
      <c r="A922" s="17" t="s">
        <v>876</v>
      </c>
      <c r="B922" s="10" t="s">
        <v>59</v>
      </c>
      <c r="C922" s="13" t="s">
        <v>153</v>
      </c>
      <c r="D922" s="7" t="s">
        <v>1269</v>
      </c>
      <c r="E922" s="2" t="s">
        <v>1306</v>
      </c>
      <c r="F922" s="2" t="s">
        <v>3</v>
      </c>
      <c r="G922" s="31"/>
      <c r="I9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2" t="str">
        <f>IF(tb_zakazchik[[#This Row],[Столбец1]]&lt;&gt;"",SUM($I$2:I922),"")</f>
        <v/>
      </c>
      <c r="K922" t="str">
        <f>IF(tb_zakazchik[[#This Row],[Столбец1]]&lt;&gt;"",tb_baza[[#This Row],[Гос. номер]],"")</f>
        <v/>
      </c>
    </row>
    <row r="923" spans="1:11" x14ac:dyDescent="0.25">
      <c r="A923" s="17" t="s">
        <v>800</v>
      </c>
      <c r="B923" s="10" t="s">
        <v>194</v>
      </c>
      <c r="C923" s="13" t="s">
        <v>153</v>
      </c>
      <c r="D923" s="7" t="s">
        <v>1269</v>
      </c>
      <c r="E923" s="2" t="s">
        <v>1306</v>
      </c>
      <c r="F923" s="2" t="s">
        <v>3</v>
      </c>
      <c r="G923" s="31"/>
      <c r="I9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3" t="str">
        <f>IF(tb_zakazchik[[#This Row],[Столбец1]]&lt;&gt;"",SUM($I$2:I923),"")</f>
        <v/>
      </c>
      <c r="K923" t="str">
        <f>IF(tb_zakazchik[[#This Row],[Столбец1]]&lt;&gt;"",tb_baza[[#This Row],[Гос. номер]],"")</f>
        <v/>
      </c>
    </row>
    <row r="924" spans="1:11" x14ac:dyDescent="0.25">
      <c r="A924" s="17" t="s">
        <v>152</v>
      </c>
      <c r="B924" s="10" t="s">
        <v>151</v>
      </c>
      <c r="C924" s="13" t="s">
        <v>153</v>
      </c>
      <c r="D924" s="7" t="s">
        <v>1269</v>
      </c>
      <c r="E924" s="2" t="s">
        <v>2</v>
      </c>
      <c r="F924" s="2" t="s">
        <v>13</v>
      </c>
      <c r="G924" s="31"/>
      <c r="I9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4" t="str">
        <f>IF(tb_zakazchik[[#This Row],[Столбец1]]&lt;&gt;"",SUM($I$2:I924),"")</f>
        <v/>
      </c>
      <c r="K924" t="str">
        <f>IF(tb_zakazchik[[#This Row],[Столбец1]]&lt;&gt;"",tb_baza[[#This Row],[Гос. номер]],"")</f>
        <v/>
      </c>
    </row>
    <row r="925" spans="1:11" x14ac:dyDescent="0.25">
      <c r="A925" s="17" t="s">
        <v>952</v>
      </c>
      <c r="B925" s="10" t="s">
        <v>4</v>
      </c>
      <c r="C925" s="13" t="s">
        <v>153</v>
      </c>
      <c r="D925" s="7" t="s">
        <v>1269</v>
      </c>
      <c r="E925" s="2" t="s">
        <v>12</v>
      </c>
      <c r="F925" s="2" t="s">
        <v>13</v>
      </c>
      <c r="G925" s="31"/>
      <c r="I9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5" t="str">
        <f>IF(tb_zakazchik[[#This Row],[Столбец1]]&lt;&gt;"",SUM($I$2:I925),"")</f>
        <v/>
      </c>
      <c r="K925" t="str">
        <f>IF(tb_zakazchik[[#This Row],[Столбец1]]&lt;&gt;"",tb_baza[[#This Row],[Гос. номер]],"")</f>
        <v/>
      </c>
    </row>
    <row r="926" spans="1:11" x14ac:dyDescent="0.25">
      <c r="A926" s="17" t="s">
        <v>11</v>
      </c>
      <c r="B926" s="10" t="s">
        <v>4</v>
      </c>
      <c r="C926" s="13" t="s">
        <v>153</v>
      </c>
      <c r="D926" s="7" t="s">
        <v>1269</v>
      </c>
      <c r="E926" s="2" t="s">
        <v>12</v>
      </c>
      <c r="F926" s="2" t="s">
        <v>13</v>
      </c>
      <c r="G926" s="31"/>
      <c r="I9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6" t="str">
        <f>IF(tb_zakazchik[[#This Row],[Столбец1]]&lt;&gt;"",SUM($I$2:I926),"")</f>
        <v/>
      </c>
      <c r="K926" t="str">
        <f>IF(tb_zakazchik[[#This Row],[Столбец1]]&lt;&gt;"",tb_baza[[#This Row],[Гос. номер]],"")</f>
        <v/>
      </c>
    </row>
    <row r="927" spans="1:11" x14ac:dyDescent="0.25">
      <c r="A927" s="17" t="s">
        <v>982</v>
      </c>
      <c r="B927" s="10" t="s">
        <v>4</v>
      </c>
      <c r="C927" s="13" t="s">
        <v>153</v>
      </c>
      <c r="D927" s="7" t="s">
        <v>1269</v>
      </c>
      <c r="E927" s="2" t="s">
        <v>12</v>
      </c>
      <c r="F927" s="2" t="s">
        <v>13</v>
      </c>
      <c r="G927" s="31"/>
      <c r="I9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7" t="str">
        <f>IF(tb_zakazchik[[#This Row],[Столбец1]]&lt;&gt;"",SUM($I$2:I927),"")</f>
        <v/>
      </c>
      <c r="K927" t="str">
        <f>IF(tb_zakazchik[[#This Row],[Столбец1]]&lt;&gt;"",tb_baza[[#This Row],[Гос. номер]],"")</f>
        <v/>
      </c>
    </row>
    <row r="928" spans="1:11" x14ac:dyDescent="0.25">
      <c r="A928" s="17" t="s">
        <v>279</v>
      </c>
      <c r="B928" s="10" t="s">
        <v>59</v>
      </c>
      <c r="C928" s="13" t="s">
        <v>153</v>
      </c>
      <c r="D928" s="7" t="s">
        <v>1269</v>
      </c>
      <c r="E928" s="2" t="s">
        <v>12</v>
      </c>
      <c r="F928" s="2" t="s">
        <v>13</v>
      </c>
      <c r="G928" s="31"/>
      <c r="I9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8" t="str">
        <f>IF(tb_zakazchik[[#This Row],[Столбец1]]&lt;&gt;"",SUM($I$2:I928),"")</f>
        <v/>
      </c>
      <c r="K928" t="str">
        <f>IF(tb_zakazchik[[#This Row],[Столбец1]]&lt;&gt;"",tb_baza[[#This Row],[Гос. номер]],"")</f>
        <v/>
      </c>
    </row>
    <row r="929" spans="1:11" x14ac:dyDescent="0.25">
      <c r="A929" s="17" t="s">
        <v>600</v>
      </c>
      <c r="B929" s="10" t="s">
        <v>59</v>
      </c>
      <c r="C929" s="13" t="s">
        <v>153</v>
      </c>
      <c r="D929" s="7" t="s">
        <v>1269</v>
      </c>
      <c r="E929" s="2" t="s">
        <v>12</v>
      </c>
      <c r="F929" s="2" t="s">
        <v>13</v>
      </c>
      <c r="G929" s="31"/>
      <c r="I9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29" t="str">
        <f>IF(tb_zakazchik[[#This Row],[Столбец1]]&lt;&gt;"",SUM($I$2:I929),"")</f>
        <v/>
      </c>
      <c r="K929" t="str">
        <f>IF(tb_zakazchik[[#This Row],[Столбец1]]&lt;&gt;"",tb_baza[[#This Row],[Гос. номер]],"")</f>
        <v/>
      </c>
    </row>
    <row r="930" spans="1:11" x14ac:dyDescent="0.25">
      <c r="A930" s="17" t="s">
        <v>60</v>
      </c>
      <c r="B930" s="10" t="s">
        <v>59</v>
      </c>
      <c r="C930" s="13" t="s">
        <v>153</v>
      </c>
      <c r="D930" s="7" t="s">
        <v>1269</v>
      </c>
      <c r="E930" s="2" t="s">
        <v>12</v>
      </c>
      <c r="F930" s="2" t="s">
        <v>13</v>
      </c>
      <c r="G930" s="31"/>
      <c r="I9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0" t="str">
        <f>IF(tb_zakazchik[[#This Row],[Столбец1]]&lt;&gt;"",SUM($I$2:I930),"")</f>
        <v/>
      </c>
      <c r="K930" t="str">
        <f>IF(tb_zakazchik[[#This Row],[Столбец1]]&lt;&gt;"",tb_baza[[#This Row],[Гос. номер]],"")</f>
        <v/>
      </c>
    </row>
    <row r="931" spans="1:11" x14ac:dyDescent="0.25">
      <c r="A931" s="17" t="s">
        <v>235</v>
      </c>
      <c r="B931" s="10" t="s">
        <v>59</v>
      </c>
      <c r="C931" s="13" t="s">
        <v>153</v>
      </c>
      <c r="D931" s="7" t="s">
        <v>1269</v>
      </c>
      <c r="E931" s="2" t="s">
        <v>12</v>
      </c>
      <c r="F931" s="2" t="s">
        <v>13</v>
      </c>
      <c r="G931" s="31"/>
      <c r="I9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1" t="str">
        <f>IF(tb_zakazchik[[#This Row],[Столбец1]]&lt;&gt;"",SUM($I$2:I931),"")</f>
        <v/>
      </c>
      <c r="K931" t="str">
        <f>IF(tb_zakazchik[[#This Row],[Столбец1]]&lt;&gt;"",tb_baza[[#This Row],[Гос. номер]],"")</f>
        <v/>
      </c>
    </row>
    <row r="932" spans="1:11" x14ac:dyDescent="0.25">
      <c r="A932" s="17" t="s">
        <v>17</v>
      </c>
      <c r="B932" s="10" t="s">
        <v>16</v>
      </c>
      <c r="C932" s="13" t="s">
        <v>153</v>
      </c>
      <c r="D932" s="7" t="s">
        <v>1269</v>
      </c>
      <c r="E932" s="2" t="s">
        <v>12</v>
      </c>
      <c r="F932" s="2" t="s">
        <v>13</v>
      </c>
      <c r="G932" s="31"/>
      <c r="I9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2" t="str">
        <f>IF(tb_zakazchik[[#This Row],[Столбец1]]&lt;&gt;"",SUM($I$2:I932),"")</f>
        <v/>
      </c>
      <c r="K932" t="str">
        <f>IF(tb_zakazchik[[#This Row],[Столбец1]]&lt;&gt;"",tb_baza[[#This Row],[Гос. номер]],"")</f>
        <v/>
      </c>
    </row>
    <row r="933" spans="1:11" x14ac:dyDescent="0.25">
      <c r="A933" s="17" t="s">
        <v>621</v>
      </c>
      <c r="B933" s="10" t="s">
        <v>59</v>
      </c>
      <c r="C933" s="13" t="s">
        <v>153</v>
      </c>
      <c r="D933" s="7" t="s">
        <v>1269</v>
      </c>
      <c r="E933" s="2" t="s">
        <v>12</v>
      </c>
      <c r="F933" s="2" t="s">
        <v>3</v>
      </c>
      <c r="G933" s="31"/>
      <c r="I9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3" t="str">
        <f>IF(tb_zakazchik[[#This Row],[Столбец1]]&lt;&gt;"",SUM($I$2:I933),"")</f>
        <v/>
      </c>
      <c r="K933" t="str">
        <f>IF(tb_zakazchik[[#This Row],[Столбец1]]&lt;&gt;"",tb_baza[[#This Row],[Гос. номер]],"")</f>
        <v/>
      </c>
    </row>
    <row r="934" spans="1:11" x14ac:dyDescent="0.25">
      <c r="A934" s="17" t="s">
        <v>119</v>
      </c>
      <c r="B934" s="10" t="s">
        <v>118</v>
      </c>
      <c r="C934" s="13" t="s">
        <v>153</v>
      </c>
      <c r="D934" s="21" t="s">
        <v>1278</v>
      </c>
      <c r="E934" s="2" t="s">
        <v>1306</v>
      </c>
      <c r="F934" s="2" t="s">
        <v>3</v>
      </c>
      <c r="G934" s="31"/>
      <c r="I9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4" t="str">
        <f>IF(tb_zakazchik[[#This Row],[Столбец1]]&lt;&gt;"",SUM($I$2:I934),"")</f>
        <v/>
      </c>
      <c r="K934" t="str">
        <f>IF(tb_zakazchik[[#This Row],[Столбец1]]&lt;&gt;"",tb_baza[[#This Row],[Гос. номер]],"")</f>
        <v/>
      </c>
    </row>
    <row r="935" spans="1:11" x14ac:dyDescent="0.25">
      <c r="A935" s="17" t="s">
        <v>516</v>
      </c>
      <c r="B935" s="10" t="s">
        <v>118</v>
      </c>
      <c r="C935" s="13" t="s">
        <v>153</v>
      </c>
      <c r="D935" s="21" t="s">
        <v>1278</v>
      </c>
      <c r="E935" s="2" t="s">
        <v>1307</v>
      </c>
      <c r="F935" s="2" t="s">
        <v>3</v>
      </c>
      <c r="G935" s="31"/>
      <c r="I9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5" t="str">
        <f>IF(tb_zakazchik[[#This Row],[Столбец1]]&lt;&gt;"",SUM($I$2:I935),"")</f>
        <v/>
      </c>
      <c r="K935" t="str">
        <f>IF(tb_zakazchik[[#This Row],[Столбец1]]&lt;&gt;"",tb_baza[[#This Row],[Гос. номер]],"")</f>
        <v/>
      </c>
    </row>
    <row r="936" spans="1:11" x14ac:dyDescent="0.25">
      <c r="A936" s="17" t="s">
        <v>218</v>
      </c>
      <c r="B936" s="10" t="s">
        <v>63</v>
      </c>
      <c r="C936" s="13" t="s">
        <v>153</v>
      </c>
      <c r="D936" s="7" t="s">
        <v>1301</v>
      </c>
      <c r="E936" s="2" t="s">
        <v>2</v>
      </c>
      <c r="F936" s="2" t="s">
        <v>13</v>
      </c>
      <c r="G936" s="31"/>
      <c r="I9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6" t="str">
        <f>IF(tb_zakazchik[[#This Row],[Столбец1]]&lt;&gt;"",SUM($I$2:I936),"")</f>
        <v/>
      </c>
      <c r="K936" t="str">
        <f>IF(tb_zakazchik[[#This Row],[Столбец1]]&lt;&gt;"",tb_baza[[#This Row],[Гос. номер]],"")</f>
        <v/>
      </c>
    </row>
    <row r="937" spans="1:11" x14ac:dyDescent="0.25">
      <c r="A937" s="17" t="s">
        <v>524</v>
      </c>
      <c r="B937" s="10" t="s">
        <v>63</v>
      </c>
      <c r="C937" s="13" t="s">
        <v>153</v>
      </c>
      <c r="D937" s="7" t="s">
        <v>1301</v>
      </c>
      <c r="E937" s="2" t="s">
        <v>2</v>
      </c>
      <c r="F937" s="2" t="s">
        <v>13</v>
      </c>
      <c r="G937" s="31"/>
      <c r="I93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7" t="str">
        <f>IF(tb_zakazchik[[#This Row],[Столбец1]]&lt;&gt;"",SUM($I$2:I937),"")</f>
        <v/>
      </c>
      <c r="K937" t="str">
        <f>IF(tb_zakazchik[[#This Row],[Столбец1]]&lt;&gt;"",tb_baza[[#This Row],[Гос. номер]],"")</f>
        <v/>
      </c>
    </row>
    <row r="938" spans="1:11" x14ac:dyDescent="0.25">
      <c r="A938" s="17" t="s">
        <v>469</v>
      </c>
      <c r="B938" s="10" t="s">
        <v>468</v>
      </c>
      <c r="C938" s="13" t="s">
        <v>153</v>
      </c>
      <c r="D938" s="21" t="s">
        <v>1311</v>
      </c>
      <c r="E938" s="2" t="s">
        <v>1306</v>
      </c>
      <c r="F938" s="2" t="s">
        <v>3</v>
      </c>
      <c r="G938" s="31"/>
      <c r="I93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8" t="str">
        <f>IF(tb_zakazchik[[#This Row],[Столбец1]]&lt;&gt;"",SUM($I$2:I938),"")</f>
        <v/>
      </c>
      <c r="K938" t="str">
        <f>IF(tb_zakazchik[[#This Row],[Столбец1]]&lt;&gt;"",tb_baza[[#This Row],[Гос. номер]],"")</f>
        <v/>
      </c>
    </row>
    <row r="939" spans="1:11" x14ac:dyDescent="0.25">
      <c r="A939" s="17" t="s">
        <v>66</v>
      </c>
      <c r="B939" s="10" t="s">
        <v>65</v>
      </c>
      <c r="C939" s="13" t="s">
        <v>153</v>
      </c>
      <c r="D939" s="21" t="s">
        <v>1311</v>
      </c>
      <c r="E939" s="2" t="s">
        <v>1306</v>
      </c>
      <c r="F939" s="2" t="s">
        <v>3</v>
      </c>
      <c r="G939" s="31"/>
      <c r="I93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39" t="str">
        <f>IF(tb_zakazchik[[#This Row],[Столбец1]]&lt;&gt;"",SUM($I$2:I939),"")</f>
        <v/>
      </c>
      <c r="K939" t="str">
        <f>IF(tb_zakazchik[[#This Row],[Столбец1]]&lt;&gt;"",tb_baza[[#This Row],[Гос. номер]],"")</f>
        <v/>
      </c>
    </row>
    <row r="940" spans="1:11" x14ac:dyDescent="0.25">
      <c r="A940" s="17" t="s">
        <v>474</v>
      </c>
      <c r="B940" s="10" t="s">
        <v>473</v>
      </c>
      <c r="C940" s="13" t="s">
        <v>153</v>
      </c>
      <c r="D940" s="7" t="s">
        <v>1303</v>
      </c>
      <c r="E940" s="2" t="s">
        <v>1306</v>
      </c>
      <c r="F940" s="2" t="s">
        <v>3</v>
      </c>
      <c r="G940" s="31"/>
      <c r="I94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0" t="str">
        <f>IF(tb_zakazchik[[#This Row],[Столбец1]]&lt;&gt;"",SUM($I$2:I940),"")</f>
        <v/>
      </c>
      <c r="K940" t="str">
        <f>IF(tb_zakazchik[[#This Row],[Столбец1]]&lt;&gt;"",tb_baza[[#This Row],[Гос. номер]],"")</f>
        <v/>
      </c>
    </row>
    <row r="941" spans="1:11" x14ac:dyDescent="0.25">
      <c r="A941" s="17" t="s">
        <v>495</v>
      </c>
      <c r="B941" s="10" t="s">
        <v>492</v>
      </c>
      <c r="C941" s="13" t="s">
        <v>153</v>
      </c>
      <c r="D941" s="7" t="s">
        <v>1303</v>
      </c>
      <c r="E941" s="2" t="s">
        <v>1306</v>
      </c>
      <c r="F941" s="2" t="s">
        <v>3</v>
      </c>
      <c r="G941" s="31"/>
      <c r="I94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1" t="str">
        <f>IF(tb_zakazchik[[#This Row],[Столбец1]]&lt;&gt;"",SUM($I$2:I941),"")</f>
        <v/>
      </c>
      <c r="K941" t="str">
        <f>IF(tb_zakazchik[[#This Row],[Столбец1]]&lt;&gt;"",tb_baza[[#This Row],[Гос. номер]],"")</f>
        <v/>
      </c>
    </row>
    <row r="942" spans="1:11" x14ac:dyDescent="0.25">
      <c r="A942" s="17" t="s">
        <v>829</v>
      </c>
      <c r="B942" s="10" t="s">
        <v>14</v>
      </c>
      <c r="C942" s="13" t="s">
        <v>153</v>
      </c>
      <c r="D942" s="7" t="s">
        <v>1303</v>
      </c>
      <c r="E942" s="2" t="s">
        <v>1306</v>
      </c>
      <c r="F942" s="2" t="s">
        <v>3</v>
      </c>
      <c r="G942" s="31"/>
      <c r="I94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2" t="str">
        <f>IF(tb_zakazchik[[#This Row],[Столбец1]]&lt;&gt;"",SUM($I$2:I942),"")</f>
        <v/>
      </c>
      <c r="K942" t="str">
        <f>IF(tb_zakazchik[[#This Row],[Столбец1]]&lt;&gt;"",tb_baza[[#This Row],[Гос. номер]],"")</f>
        <v/>
      </c>
    </row>
    <row r="943" spans="1:11" x14ac:dyDescent="0.25">
      <c r="A943" s="17" t="s">
        <v>484</v>
      </c>
      <c r="B943" s="10" t="s">
        <v>473</v>
      </c>
      <c r="C943" s="13" t="s">
        <v>153</v>
      </c>
      <c r="D943" s="7" t="s">
        <v>1303</v>
      </c>
      <c r="E943" s="3"/>
      <c r="F943" s="2" t="s">
        <v>3</v>
      </c>
      <c r="G943" s="31"/>
      <c r="I94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3" t="str">
        <f>IF(tb_zakazchik[[#This Row],[Столбец1]]&lt;&gt;"",SUM($I$2:I943),"")</f>
        <v/>
      </c>
      <c r="K943" t="str">
        <f>IF(tb_zakazchik[[#This Row],[Столбец1]]&lt;&gt;"",tb_baza[[#This Row],[Гос. номер]],"")</f>
        <v/>
      </c>
    </row>
    <row r="944" spans="1:11" x14ac:dyDescent="0.25">
      <c r="A944" s="17" t="s">
        <v>1182</v>
      </c>
      <c r="B944" s="10" t="s">
        <v>1181</v>
      </c>
      <c r="C944" s="13" t="s">
        <v>153</v>
      </c>
      <c r="D944" s="7" t="s">
        <v>1282</v>
      </c>
      <c r="E944" s="2" t="s">
        <v>1306</v>
      </c>
      <c r="F944" s="2" t="s">
        <v>13</v>
      </c>
      <c r="G944" s="31"/>
      <c r="I94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4" t="str">
        <f>IF(tb_zakazchik[[#This Row],[Столбец1]]&lt;&gt;"",SUM($I$2:I944),"")</f>
        <v/>
      </c>
      <c r="K944" t="str">
        <f>IF(tb_zakazchik[[#This Row],[Столбец1]]&lt;&gt;"",tb_baza[[#This Row],[Гос. номер]],"")</f>
        <v/>
      </c>
    </row>
    <row r="945" spans="1:11" x14ac:dyDescent="0.25">
      <c r="A945" s="17" t="s">
        <v>1183</v>
      </c>
      <c r="B945" s="10" t="s">
        <v>1181</v>
      </c>
      <c r="C945" s="13" t="s">
        <v>153</v>
      </c>
      <c r="D945" s="7" t="s">
        <v>1282</v>
      </c>
      <c r="E945" s="2" t="s">
        <v>1306</v>
      </c>
      <c r="F945" s="2" t="s">
        <v>13</v>
      </c>
      <c r="G945" s="31"/>
      <c r="I94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5" t="str">
        <f>IF(tb_zakazchik[[#This Row],[Столбец1]]&lt;&gt;"",SUM($I$2:I945),"")</f>
        <v/>
      </c>
      <c r="K945" t="str">
        <f>IF(tb_zakazchik[[#This Row],[Столбец1]]&lt;&gt;"",tb_baza[[#This Row],[Гос. номер]],"")</f>
        <v/>
      </c>
    </row>
    <row r="946" spans="1:11" x14ac:dyDescent="0.25">
      <c r="A946" s="17" t="s">
        <v>1184</v>
      </c>
      <c r="B946" s="10" t="s">
        <v>1181</v>
      </c>
      <c r="C946" s="13" t="s">
        <v>153</v>
      </c>
      <c r="D946" s="7" t="s">
        <v>1282</v>
      </c>
      <c r="E946" s="2" t="s">
        <v>1306</v>
      </c>
      <c r="F946" s="2" t="s">
        <v>13</v>
      </c>
      <c r="G946" s="31"/>
      <c r="I94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6" t="str">
        <f>IF(tb_zakazchik[[#This Row],[Столбец1]]&lt;&gt;"",SUM($I$2:I946),"")</f>
        <v/>
      </c>
      <c r="K946" t="str">
        <f>IF(tb_zakazchik[[#This Row],[Столбец1]]&lt;&gt;"",tb_baza[[#This Row],[Гос. номер]],"")</f>
        <v/>
      </c>
    </row>
    <row r="947" spans="1:11" x14ac:dyDescent="0.25">
      <c r="A947" s="17" t="s">
        <v>1185</v>
      </c>
      <c r="B947" s="10" t="s">
        <v>1181</v>
      </c>
      <c r="C947" s="13" t="s">
        <v>153</v>
      </c>
      <c r="D947" s="7" t="s">
        <v>1282</v>
      </c>
      <c r="E947" s="2" t="s">
        <v>1306</v>
      </c>
      <c r="F947" s="2" t="s">
        <v>13</v>
      </c>
      <c r="G947" s="31"/>
      <c r="I94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7" t="str">
        <f>IF(tb_zakazchik[[#This Row],[Столбец1]]&lt;&gt;"",SUM($I$2:I947),"")</f>
        <v/>
      </c>
      <c r="K947" t="str">
        <f>IF(tb_zakazchik[[#This Row],[Столбец1]]&lt;&gt;"",tb_baza[[#This Row],[Гос. номер]],"")</f>
        <v/>
      </c>
    </row>
    <row r="948" spans="1:11" x14ac:dyDescent="0.25">
      <c r="A948" s="17" t="s">
        <v>1186</v>
      </c>
      <c r="B948" s="10" t="s">
        <v>1181</v>
      </c>
      <c r="C948" s="13" t="s">
        <v>153</v>
      </c>
      <c r="D948" s="7" t="s">
        <v>1282</v>
      </c>
      <c r="E948" s="2" t="s">
        <v>1306</v>
      </c>
      <c r="F948" s="2" t="s">
        <v>13</v>
      </c>
      <c r="G948" s="31"/>
      <c r="I94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8" t="str">
        <f>IF(tb_zakazchik[[#This Row],[Столбец1]]&lt;&gt;"",SUM($I$2:I948),"")</f>
        <v/>
      </c>
      <c r="K948" t="str">
        <f>IF(tb_zakazchik[[#This Row],[Столбец1]]&lt;&gt;"",tb_baza[[#This Row],[Гос. номер]],"")</f>
        <v/>
      </c>
    </row>
    <row r="949" spans="1:11" x14ac:dyDescent="0.25">
      <c r="A949" s="17" t="s">
        <v>393</v>
      </c>
      <c r="B949" s="10" t="s">
        <v>392</v>
      </c>
      <c r="C949" s="13" t="s">
        <v>153</v>
      </c>
      <c r="D949" s="7" t="s">
        <v>1282</v>
      </c>
      <c r="E949" s="2" t="s">
        <v>1306</v>
      </c>
      <c r="F949" s="2" t="s">
        <v>13</v>
      </c>
      <c r="G949" s="31"/>
      <c r="I94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49" t="str">
        <f>IF(tb_zakazchik[[#This Row],[Столбец1]]&lt;&gt;"",SUM($I$2:I949),"")</f>
        <v/>
      </c>
      <c r="K949" t="str">
        <f>IF(tb_zakazchik[[#This Row],[Столбец1]]&lt;&gt;"",tb_baza[[#This Row],[Гос. номер]],"")</f>
        <v/>
      </c>
    </row>
    <row r="950" spans="1:11" x14ac:dyDescent="0.25">
      <c r="A950" s="17" t="s">
        <v>439</v>
      </c>
      <c r="B950" s="10" t="s">
        <v>416</v>
      </c>
      <c r="C950" s="13" t="s">
        <v>153</v>
      </c>
      <c r="D950" s="7" t="s">
        <v>1282</v>
      </c>
      <c r="E950" s="2" t="s">
        <v>1306</v>
      </c>
      <c r="F950" s="2" t="s">
        <v>13</v>
      </c>
      <c r="G950" s="31"/>
      <c r="I95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0" t="str">
        <f>IF(tb_zakazchik[[#This Row],[Столбец1]]&lt;&gt;"",SUM($I$2:I950),"")</f>
        <v/>
      </c>
      <c r="K950" t="str">
        <f>IF(tb_zakazchik[[#This Row],[Столбец1]]&lt;&gt;"",tb_baza[[#This Row],[Гос. номер]],"")</f>
        <v/>
      </c>
    </row>
    <row r="951" spans="1:11" x14ac:dyDescent="0.25">
      <c r="A951" s="17" t="s">
        <v>874</v>
      </c>
      <c r="B951" s="10" t="s">
        <v>414</v>
      </c>
      <c r="C951" s="13" t="s">
        <v>153</v>
      </c>
      <c r="D951" s="7" t="s">
        <v>1282</v>
      </c>
      <c r="E951" s="2" t="s">
        <v>1306</v>
      </c>
      <c r="F951" s="2" t="s">
        <v>13</v>
      </c>
      <c r="G951" s="31"/>
      <c r="I95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1" t="str">
        <f>IF(tb_zakazchik[[#This Row],[Столбец1]]&lt;&gt;"",SUM($I$2:I951),"")</f>
        <v/>
      </c>
      <c r="K951" t="str">
        <f>IF(tb_zakazchik[[#This Row],[Столбец1]]&lt;&gt;"",tb_baza[[#This Row],[Гос. номер]],"")</f>
        <v/>
      </c>
    </row>
    <row r="952" spans="1:11" x14ac:dyDescent="0.25">
      <c r="A952" s="17" t="s">
        <v>417</v>
      </c>
      <c r="B952" s="10" t="s">
        <v>416</v>
      </c>
      <c r="C952" s="13" t="s">
        <v>153</v>
      </c>
      <c r="D952" s="7" t="s">
        <v>1282</v>
      </c>
      <c r="E952" s="2" t="s">
        <v>1306</v>
      </c>
      <c r="F952" s="2" t="s">
        <v>13</v>
      </c>
      <c r="G952" s="31"/>
      <c r="I95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2" t="str">
        <f>IF(tb_zakazchik[[#This Row],[Столбец1]]&lt;&gt;"",SUM($I$2:I952),"")</f>
        <v/>
      </c>
      <c r="K952" t="str">
        <f>IF(tb_zakazchik[[#This Row],[Столбец1]]&lt;&gt;"",tb_baza[[#This Row],[Гос. номер]],"")</f>
        <v/>
      </c>
    </row>
    <row r="953" spans="1:11" x14ac:dyDescent="0.25">
      <c r="A953" s="17" t="s">
        <v>415</v>
      </c>
      <c r="B953" s="10" t="s">
        <v>414</v>
      </c>
      <c r="C953" s="13" t="s">
        <v>153</v>
      </c>
      <c r="D953" s="7" t="s">
        <v>1282</v>
      </c>
      <c r="E953" s="2" t="s">
        <v>1306</v>
      </c>
      <c r="F953" s="2" t="s">
        <v>13</v>
      </c>
      <c r="G953" s="31"/>
      <c r="I95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3" t="str">
        <f>IF(tb_zakazchik[[#This Row],[Столбец1]]&lt;&gt;"",SUM($I$2:I953),"")</f>
        <v/>
      </c>
      <c r="K953" t="str">
        <f>IF(tb_zakazchik[[#This Row],[Столбец1]]&lt;&gt;"",tb_baza[[#This Row],[Гос. номер]],"")</f>
        <v/>
      </c>
    </row>
    <row r="954" spans="1:11" x14ac:dyDescent="0.25">
      <c r="A954" s="17" t="s">
        <v>419</v>
      </c>
      <c r="B954" s="10" t="s">
        <v>414</v>
      </c>
      <c r="C954" s="13" t="s">
        <v>153</v>
      </c>
      <c r="D954" s="7" t="s">
        <v>1282</v>
      </c>
      <c r="E954" s="2" t="s">
        <v>1306</v>
      </c>
      <c r="F954" s="2" t="s">
        <v>13</v>
      </c>
      <c r="G954" s="31"/>
      <c r="I95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4" t="str">
        <f>IF(tb_zakazchik[[#This Row],[Столбец1]]&lt;&gt;"",SUM($I$2:I954),"")</f>
        <v/>
      </c>
      <c r="K954" t="str">
        <f>IF(tb_zakazchik[[#This Row],[Столбец1]]&lt;&gt;"",tb_baza[[#This Row],[Гос. номер]],"")</f>
        <v/>
      </c>
    </row>
    <row r="955" spans="1:11" x14ac:dyDescent="0.25">
      <c r="A955" s="17" t="s">
        <v>418</v>
      </c>
      <c r="B955" s="10" t="s">
        <v>416</v>
      </c>
      <c r="C955" s="13" t="s">
        <v>153</v>
      </c>
      <c r="D955" s="7" t="s">
        <v>1282</v>
      </c>
      <c r="E955" s="2" t="s">
        <v>1306</v>
      </c>
      <c r="F955" s="2" t="s">
        <v>13</v>
      </c>
      <c r="G955" s="31"/>
      <c r="I95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5" t="str">
        <f>IF(tb_zakazchik[[#This Row],[Столбец1]]&lt;&gt;"",SUM($I$2:I955),"")</f>
        <v/>
      </c>
      <c r="K955" t="str">
        <f>IF(tb_zakazchik[[#This Row],[Столбец1]]&lt;&gt;"",tb_baza[[#This Row],[Гос. номер]],"")</f>
        <v/>
      </c>
    </row>
    <row r="956" spans="1:11" x14ac:dyDescent="0.25">
      <c r="A956" s="17" t="s">
        <v>462</v>
      </c>
      <c r="B956" s="10" t="s">
        <v>461</v>
      </c>
      <c r="C956" s="13" t="s">
        <v>153</v>
      </c>
      <c r="D956" s="7" t="s">
        <v>1282</v>
      </c>
      <c r="E956" s="2" t="s">
        <v>1306</v>
      </c>
      <c r="F956" s="2" t="s">
        <v>13</v>
      </c>
      <c r="G956" s="31"/>
      <c r="I95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6" t="str">
        <f>IF(tb_zakazchik[[#This Row],[Столбец1]]&lt;&gt;"",SUM($I$2:I956),"")</f>
        <v/>
      </c>
      <c r="K956" t="str">
        <f>IF(tb_zakazchik[[#This Row],[Столбец1]]&lt;&gt;"",tb_baza[[#This Row],[Гос. номер]],"")</f>
        <v/>
      </c>
    </row>
    <row r="957" spans="1:11" x14ac:dyDescent="0.25">
      <c r="A957" s="17" t="s">
        <v>873</v>
      </c>
      <c r="B957" s="10" t="s">
        <v>461</v>
      </c>
      <c r="C957" s="13" t="s">
        <v>153</v>
      </c>
      <c r="D957" s="7" t="s">
        <v>1282</v>
      </c>
      <c r="E957" s="2" t="s">
        <v>1306</v>
      </c>
      <c r="F957" s="2" t="s">
        <v>13</v>
      </c>
      <c r="G957" s="31"/>
      <c r="I95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7" t="str">
        <f>IF(tb_zakazchik[[#This Row],[Столбец1]]&lt;&gt;"",SUM($I$2:I957),"")</f>
        <v/>
      </c>
      <c r="K957" t="str">
        <f>IF(tb_zakazchik[[#This Row],[Столбец1]]&lt;&gt;"",tb_baza[[#This Row],[Гос. номер]],"")</f>
        <v/>
      </c>
    </row>
    <row r="958" spans="1:11" x14ac:dyDescent="0.25">
      <c r="A958" s="17" t="s">
        <v>438</v>
      </c>
      <c r="B958" s="10" t="s">
        <v>416</v>
      </c>
      <c r="C958" s="13" t="s">
        <v>153</v>
      </c>
      <c r="D958" s="7" t="s">
        <v>1282</v>
      </c>
      <c r="E958" s="2" t="s">
        <v>1306</v>
      </c>
      <c r="F958" s="2" t="s">
        <v>13</v>
      </c>
      <c r="G958" s="31"/>
      <c r="I95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8" t="str">
        <f>IF(tb_zakazchik[[#This Row],[Столбец1]]&lt;&gt;"",SUM($I$2:I958),"")</f>
        <v/>
      </c>
      <c r="K958" t="str">
        <f>IF(tb_zakazchik[[#This Row],[Столбец1]]&lt;&gt;"",tb_baza[[#This Row],[Гос. номер]],"")</f>
        <v/>
      </c>
    </row>
    <row r="959" spans="1:11" x14ac:dyDescent="0.25">
      <c r="A959" s="17" t="s">
        <v>450</v>
      </c>
      <c r="B959" s="10" t="s">
        <v>414</v>
      </c>
      <c r="C959" s="13" t="s">
        <v>153</v>
      </c>
      <c r="D959" s="7" t="s">
        <v>1282</v>
      </c>
      <c r="E959" s="2" t="s">
        <v>1306</v>
      </c>
      <c r="F959" s="2" t="s">
        <v>13</v>
      </c>
      <c r="G959" s="31"/>
      <c r="I95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59" t="str">
        <f>IF(tb_zakazchik[[#This Row],[Столбец1]]&lt;&gt;"",SUM($I$2:I959),"")</f>
        <v/>
      </c>
      <c r="K959" t="str">
        <f>IF(tb_zakazchik[[#This Row],[Столбец1]]&lt;&gt;"",tb_baza[[#This Row],[Гос. номер]],"")</f>
        <v/>
      </c>
    </row>
    <row r="960" spans="1:11" x14ac:dyDescent="0.25">
      <c r="A960" s="17" t="s">
        <v>435</v>
      </c>
      <c r="B960" s="10" t="s">
        <v>416</v>
      </c>
      <c r="C960" s="13" t="s">
        <v>153</v>
      </c>
      <c r="D960" s="7" t="s">
        <v>1282</v>
      </c>
      <c r="E960" s="2" t="s">
        <v>1306</v>
      </c>
      <c r="F960" s="2" t="s">
        <v>13</v>
      </c>
      <c r="G960" s="31"/>
      <c r="I96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0" t="str">
        <f>IF(tb_zakazchik[[#This Row],[Столбец1]]&lt;&gt;"",SUM($I$2:I960),"")</f>
        <v/>
      </c>
      <c r="K960" t="str">
        <f>IF(tb_zakazchik[[#This Row],[Столбец1]]&lt;&gt;"",tb_baza[[#This Row],[Гос. номер]],"")</f>
        <v/>
      </c>
    </row>
    <row r="961" spans="1:11" x14ac:dyDescent="0.25">
      <c r="A961" s="17" t="s">
        <v>440</v>
      </c>
      <c r="B961" s="10" t="s">
        <v>414</v>
      </c>
      <c r="C961" s="13" t="s">
        <v>153</v>
      </c>
      <c r="D961" s="7" t="s">
        <v>1282</v>
      </c>
      <c r="E961" s="2" t="s">
        <v>1306</v>
      </c>
      <c r="F961" s="2" t="s">
        <v>13</v>
      </c>
      <c r="G961" s="31"/>
      <c r="I96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1" t="str">
        <f>IF(tb_zakazchik[[#This Row],[Столбец1]]&lt;&gt;"",SUM($I$2:I961),"")</f>
        <v/>
      </c>
      <c r="K961" t="str">
        <f>IF(tb_zakazchik[[#This Row],[Столбец1]]&lt;&gt;"",tb_baza[[#This Row],[Гос. номер]],"")</f>
        <v/>
      </c>
    </row>
    <row r="962" spans="1:11" x14ac:dyDescent="0.25">
      <c r="A962" s="17" t="s">
        <v>442</v>
      </c>
      <c r="B962" s="10" t="s">
        <v>414</v>
      </c>
      <c r="C962" s="13" t="s">
        <v>153</v>
      </c>
      <c r="D962" s="7" t="s">
        <v>1282</v>
      </c>
      <c r="E962" s="2" t="s">
        <v>1306</v>
      </c>
      <c r="F962" s="2" t="s">
        <v>13</v>
      </c>
      <c r="G962" s="31"/>
      <c r="I96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2" t="str">
        <f>IF(tb_zakazchik[[#This Row],[Столбец1]]&lt;&gt;"",SUM($I$2:I962),"")</f>
        <v/>
      </c>
      <c r="K962" t="str">
        <f>IF(tb_zakazchik[[#This Row],[Столбец1]]&lt;&gt;"",tb_baza[[#This Row],[Гос. номер]],"")</f>
        <v/>
      </c>
    </row>
    <row r="963" spans="1:11" x14ac:dyDescent="0.25">
      <c r="A963" s="17" t="s">
        <v>410</v>
      </c>
      <c r="B963" s="10" t="s">
        <v>409</v>
      </c>
      <c r="C963" s="13" t="s">
        <v>153</v>
      </c>
      <c r="D963" s="7" t="s">
        <v>1282</v>
      </c>
      <c r="E963" s="2" t="s">
        <v>1306</v>
      </c>
      <c r="F963" s="2" t="s">
        <v>13</v>
      </c>
      <c r="G963" s="31"/>
      <c r="I96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3" t="str">
        <f>IF(tb_zakazchik[[#This Row],[Столбец1]]&lt;&gt;"",SUM($I$2:I963),"")</f>
        <v/>
      </c>
      <c r="K963" t="str">
        <f>IF(tb_zakazchik[[#This Row],[Столбец1]]&lt;&gt;"",tb_baza[[#This Row],[Гос. номер]],"")</f>
        <v/>
      </c>
    </row>
    <row r="964" spans="1:11" x14ac:dyDescent="0.25">
      <c r="A964" s="17" t="s">
        <v>441</v>
      </c>
      <c r="B964" s="10" t="s">
        <v>416</v>
      </c>
      <c r="C964" s="13" t="s">
        <v>153</v>
      </c>
      <c r="D964" s="7" t="s">
        <v>1282</v>
      </c>
      <c r="E964" s="2" t="s">
        <v>1306</v>
      </c>
      <c r="F964" s="2" t="s">
        <v>13</v>
      </c>
      <c r="G964" s="31"/>
      <c r="I96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4" t="str">
        <f>IF(tb_zakazchik[[#This Row],[Столбец1]]&lt;&gt;"",SUM($I$2:I964),"")</f>
        <v/>
      </c>
      <c r="K964" t="str">
        <f>IF(tb_zakazchik[[#This Row],[Столбец1]]&lt;&gt;"",tb_baza[[#This Row],[Гос. номер]],"")</f>
        <v/>
      </c>
    </row>
    <row r="965" spans="1:11" x14ac:dyDescent="0.25">
      <c r="A965" s="17" t="s">
        <v>1019</v>
      </c>
      <c r="B965" s="10" t="s">
        <v>1018</v>
      </c>
      <c r="C965" s="13" t="s">
        <v>153</v>
      </c>
      <c r="D965" s="7" t="s">
        <v>1282</v>
      </c>
      <c r="E965" s="2" t="s">
        <v>1306</v>
      </c>
      <c r="F965" s="2" t="s">
        <v>3</v>
      </c>
      <c r="G965" s="31"/>
      <c r="I96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5" t="str">
        <f>IF(tb_zakazchik[[#This Row],[Столбец1]]&lt;&gt;"",SUM($I$2:I965),"")</f>
        <v/>
      </c>
      <c r="K965" t="str">
        <f>IF(tb_zakazchik[[#This Row],[Столбец1]]&lt;&gt;"",tb_baza[[#This Row],[Гос. номер]],"")</f>
        <v/>
      </c>
    </row>
    <row r="966" spans="1:11" x14ac:dyDescent="0.25">
      <c r="A966" s="17" t="s">
        <v>454</v>
      </c>
      <c r="B966" s="10" t="s">
        <v>453</v>
      </c>
      <c r="C966" s="13" t="s">
        <v>153</v>
      </c>
      <c r="D966" s="7" t="s">
        <v>1282</v>
      </c>
      <c r="E966" s="2" t="s">
        <v>1306</v>
      </c>
      <c r="F966" s="2" t="s">
        <v>13</v>
      </c>
      <c r="G966" s="31"/>
      <c r="I96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6" t="str">
        <f>IF(tb_zakazchik[[#This Row],[Столбец1]]&lt;&gt;"",SUM($I$2:I966),"")</f>
        <v/>
      </c>
      <c r="K966" t="str">
        <f>IF(tb_zakazchik[[#This Row],[Столбец1]]&lt;&gt;"",tb_baza[[#This Row],[Гос. номер]],"")</f>
        <v/>
      </c>
    </row>
    <row r="967" spans="1:11" x14ac:dyDescent="0.25">
      <c r="A967" s="17" t="s">
        <v>456</v>
      </c>
      <c r="B967" s="10" t="s">
        <v>455</v>
      </c>
      <c r="C967" s="13" t="s">
        <v>153</v>
      </c>
      <c r="D967" s="7" t="s">
        <v>1282</v>
      </c>
      <c r="E967" s="2" t="s">
        <v>1306</v>
      </c>
      <c r="F967" s="2" t="s">
        <v>13</v>
      </c>
      <c r="G967" s="31"/>
      <c r="I96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7" t="str">
        <f>IF(tb_zakazchik[[#This Row],[Столбец1]]&lt;&gt;"",SUM($I$2:I967),"")</f>
        <v/>
      </c>
      <c r="K967" t="str">
        <f>IF(tb_zakazchik[[#This Row],[Столбец1]]&lt;&gt;"",tb_baza[[#This Row],[Гос. номер]],"")</f>
        <v/>
      </c>
    </row>
    <row r="968" spans="1:11" x14ac:dyDescent="0.25">
      <c r="A968" s="17" t="s">
        <v>582</v>
      </c>
      <c r="B968" s="10" t="s">
        <v>113</v>
      </c>
      <c r="C968" s="13" t="s">
        <v>153</v>
      </c>
      <c r="D968" s="7" t="s">
        <v>1275</v>
      </c>
      <c r="E968" s="2" t="s">
        <v>1306</v>
      </c>
      <c r="F968" s="2" t="s">
        <v>13</v>
      </c>
      <c r="G968" s="31"/>
      <c r="I96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8" t="str">
        <f>IF(tb_zakazchik[[#This Row],[Столбец1]]&lt;&gt;"",SUM($I$2:I968),"")</f>
        <v/>
      </c>
      <c r="K968" t="str">
        <f>IF(tb_zakazchik[[#This Row],[Столбец1]]&lt;&gt;"",tb_baza[[#This Row],[Гос. номер]],"")</f>
        <v/>
      </c>
    </row>
    <row r="969" spans="1:11" x14ac:dyDescent="0.25">
      <c r="A969" s="17" t="s">
        <v>296</v>
      </c>
      <c r="B969" s="10" t="s">
        <v>295</v>
      </c>
      <c r="C969" s="13" t="s">
        <v>153</v>
      </c>
      <c r="D969" s="7" t="s">
        <v>1275</v>
      </c>
      <c r="E969" s="2" t="s">
        <v>1306</v>
      </c>
      <c r="F969" s="2" t="s">
        <v>3</v>
      </c>
      <c r="G969" s="31"/>
      <c r="I96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69" t="str">
        <f>IF(tb_zakazchik[[#This Row],[Столбец1]]&lt;&gt;"",SUM($I$2:I969),"")</f>
        <v/>
      </c>
      <c r="K969" t="str">
        <f>IF(tb_zakazchik[[#This Row],[Столбец1]]&lt;&gt;"",tb_baza[[#This Row],[Гос. номер]],"")</f>
        <v/>
      </c>
    </row>
    <row r="970" spans="1:11" x14ac:dyDescent="0.25">
      <c r="A970" s="17" t="s">
        <v>794</v>
      </c>
      <c r="B970" s="10" t="s">
        <v>793</v>
      </c>
      <c r="C970" s="13" t="s">
        <v>153</v>
      </c>
      <c r="D970" s="7" t="s">
        <v>1275</v>
      </c>
      <c r="E970" s="2" t="s">
        <v>2</v>
      </c>
      <c r="F970" s="2" t="s">
        <v>3</v>
      </c>
      <c r="G970" s="31"/>
      <c r="I97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0" t="str">
        <f>IF(tb_zakazchik[[#This Row],[Столбец1]]&lt;&gt;"",SUM($I$2:I970),"")</f>
        <v/>
      </c>
      <c r="K970" t="str">
        <f>IF(tb_zakazchik[[#This Row],[Столбец1]]&lt;&gt;"",tb_baza[[#This Row],[Гос. номер]],"")</f>
        <v/>
      </c>
    </row>
    <row r="971" spans="1:11" x14ac:dyDescent="0.25">
      <c r="A971" s="17" t="s">
        <v>396</v>
      </c>
      <c r="B971" s="10" t="s">
        <v>395</v>
      </c>
      <c r="C971" s="13" t="s">
        <v>153</v>
      </c>
      <c r="D971" s="7" t="s">
        <v>1275</v>
      </c>
      <c r="E971" s="2" t="s">
        <v>2</v>
      </c>
      <c r="F971" s="2" t="s">
        <v>3</v>
      </c>
      <c r="G971" s="31"/>
      <c r="I97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1" t="str">
        <f>IF(tb_zakazchik[[#This Row],[Столбец1]]&lt;&gt;"",SUM($I$2:I971),"")</f>
        <v/>
      </c>
      <c r="K971" t="str">
        <f>IF(tb_zakazchik[[#This Row],[Столбец1]]&lt;&gt;"",tb_baza[[#This Row],[Гос. номер]],"")</f>
        <v/>
      </c>
    </row>
    <row r="972" spans="1:11" x14ac:dyDescent="0.25">
      <c r="A972" s="17" t="s">
        <v>756</v>
      </c>
      <c r="B972" s="10" t="s">
        <v>754</v>
      </c>
      <c r="C972" s="13" t="s">
        <v>153</v>
      </c>
      <c r="D972" s="7" t="s">
        <v>1275</v>
      </c>
      <c r="E972" s="2" t="s">
        <v>12</v>
      </c>
      <c r="F972" s="2" t="s">
        <v>6</v>
      </c>
      <c r="G972" s="31"/>
      <c r="I97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2" t="str">
        <f>IF(tb_zakazchik[[#This Row],[Столбец1]]&lt;&gt;"",SUM($I$2:I972),"")</f>
        <v/>
      </c>
      <c r="K972" t="str">
        <f>IF(tb_zakazchik[[#This Row],[Столбец1]]&lt;&gt;"",tb_baza[[#This Row],[Гос. номер]],"")</f>
        <v/>
      </c>
    </row>
    <row r="973" spans="1:11" x14ac:dyDescent="0.25">
      <c r="A973" s="17" t="s">
        <v>816</v>
      </c>
      <c r="B973" s="10" t="s">
        <v>754</v>
      </c>
      <c r="C973" s="13" t="s">
        <v>153</v>
      </c>
      <c r="D973" s="7" t="s">
        <v>1275</v>
      </c>
      <c r="E973" s="2" t="s">
        <v>12</v>
      </c>
      <c r="F973" s="2" t="s">
        <v>3</v>
      </c>
      <c r="G973" s="31"/>
      <c r="I97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3" t="str">
        <f>IF(tb_zakazchik[[#This Row],[Столбец1]]&lt;&gt;"",SUM($I$2:I973),"")</f>
        <v/>
      </c>
      <c r="K973" t="str">
        <f>IF(tb_zakazchik[[#This Row],[Столбец1]]&lt;&gt;"",tb_baza[[#This Row],[Гос. номер]],"")</f>
        <v/>
      </c>
    </row>
    <row r="974" spans="1:11" x14ac:dyDescent="0.25">
      <c r="A974" s="17" t="s">
        <v>486</v>
      </c>
      <c r="B974" s="10" t="s">
        <v>485</v>
      </c>
      <c r="C974" s="13" t="s">
        <v>153</v>
      </c>
      <c r="D974" s="7" t="s">
        <v>1268</v>
      </c>
      <c r="E974" s="2" t="s">
        <v>1306</v>
      </c>
      <c r="F974" s="2" t="s">
        <v>13</v>
      </c>
      <c r="G974" s="31"/>
      <c r="I97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4" t="str">
        <f>IF(tb_zakazchik[[#This Row],[Столбец1]]&lt;&gt;"",SUM($I$2:I974),"")</f>
        <v/>
      </c>
      <c r="K974" t="str">
        <f>IF(tb_zakazchik[[#This Row],[Столбец1]]&lt;&gt;"",tb_baza[[#This Row],[Гос. номер]],"")</f>
        <v/>
      </c>
    </row>
    <row r="975" spans="1:11" x14ac:dyDescent="0.25">
      <c r="A975" s="17" t="s">
        <v>38</v>
      </c>
      <c r="B975" s="10" t="s">
        <v>37</v>
      </c>
      <c r="C975" s="13" t="s">
        <v>153</v>
      </c>
      <c r="D975" s="7" t="s">
        <v>779</v>
      </c>
      <c r="E975" s="2" t="s">
        <v>1306</v>
      </c>
      <c r="F975" s="2" t="s">
        <v>3</v>
      </c>
      <c r="G975" s="31"/>
      <c r="I97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5" t="str">
        <f>IF(tb_zakazchik[[#This Row],[Столбец1]]&lt;&gt;"",SUM($I$2:I975),"")</f>
        <v/>
      </c>
      <c r="K975" t="str">
        <f>IF(tb_zakazchik[[#This Row],[Столбец1]]&lt;&gt;"",tb_baza[[#This Row],[Гос. номер]],"")</f>
        <v/>
      </c>
    </row>
    <row r="976" spans="1:11" x14ac:dyDescent="0.25">
      <c r="A976" s="17" t="s">
        <v>906</v>
      </c>
      <c r="B976" s="10" t="s">
        <v>905</v>
      </c>
      <c r="C976" s="13" t="s">
        <v>153</v>
      </c>
      <c r="D976" s="7" t="s">
        <v>779</v>
      </c>
      <c r="E976" s="2" t="s">
        <v>12</v>
      </c>
      <c r="F976" s="2" t="s">
        <v>13</v>
      </c>
      <c r="G976" s="31"/>
      <c r="I97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6" t="str">
        <f>IF(tb_zakazchik[[#This Row],[Столбец1]]&lt;&gt;"",SUM($I$2:I976),"")</f>
        <v/>
      </c>
      <c r="K976" t="str">
        <f>IF(tb_zakazchik[[#This Row],[Столбец1]]&lt;&gt;"",tb_baza[[#This Row],[Гос. номер]],"")</f>
        <v/>
      </c>
    </row>
    <row r="977" spans="1:11" x14ac:dyDescent="0.25">
      <c r="A977" s="17" t="s">
        <v>891</v>
      </c>
      <c r="B977" s="10" t="s">
        <v>890</v>
      </c>
      <c r="C977" s="13" t="s">
        <v>153</v>
      </c>
      <c r="D977" s="7" t="s">
        <v>779</v>
      </c>
      <c r="E977" s="2" t="s">
        <v>12</v>
      </c>
      <c r="F977" s="2" t="s">
        <v>13</v>
      </c>
      <c r="G977" s="31"/>
      <c r="I97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7" t="str">
        <f>IF(tb_zakazchik[[#This Row],[Столбец1]]&lt;&gt;"",SUM($I$2:I977),"")</f>
        <v/>
      </c>
      <c r="K977" t="str">
        <f>IF(tb_zakazchik[[#This Row],[Столбец1]]&lt;&gt;"",tb_baza[[#This Row],[Гос. номер]],"")</f>
        <v/>
      </c>
    </row>
    <row r="978" spans="1:11" x14ac:dyDescent="0.25">
      <c r="A978" s="17" t="s">
        <v>967</v>
      </c>
      <c r="B978" s="10" t="s">
        <v>777</v>
      </c>
      <c r="C978" s="13" t="s">
        <v>153</v>
      </c>
      <c r="D978" s="7" t="s">
        <v>779</v>
      </c>
      <c r="E978" s="2" t="s">
        <v>12</v>
      </c>
      <c r="F978" s="2" t="s">
        <v>13</v>
      </c>
      <c r="G978" s="31"/>
      <c r="I97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8" t="str">
        <f>IF(tb_zakazchik[[#This Row],[Столбец1]]&lt;&gt;"",SUM($I$2:I978),"")</f>
        <v/>
      </c>
      <c r="K978" t="str">
        <f>IF(tb_zakazchik[[#This Row],[Столбец1]]&lt;&gt;"",tb_baza[[#This Row],[Гос. номер]],"")</f>
        <v/>
      </c>
    </row>
    <row r="979" spans="1:11" x14ac:dyDescent="0.25">
      <c r="A979" s="17" t="s">
        <v>768</v>
      </c>
      <c r="B979" s="10" t="s">
        <v>767</v>
      </c>
      <c r="C979" s="13" t="s">
        <v>153</v>
      </c>
      <c r="D979" s="7" t="s">
        <v>1304</v>
      </c>
      <c r="E979" s="2" t="s">
        <v>1306</v>
      </c>
      <c r="F979" s="2" t="s">
        <v>3</v>
      </c>
      <c r="G979" s="31"/>
      <c r="I97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79" t="str">
        <f>IF(tb_zakazchik[[#This Row],[Столбец1]]&lt;&gt;"",SUM($I$2:I979),"")</f>
        <v/>
      </c>
      <c r="K979" t="str">
        <f>IF(tb_zakazchik[[#This Row],[Столбец1]]&lt;&gt;"",tb_baza[[#This Row],[Гос. номер]],"")</f>
        <v/>
      </c>
    </row>
    <row r="980" spans="1:11" x14ac:dyDescent="0.25">
      <c r="A980" s="17" t="s">
        <v>752</v>
      </c>
      <c r="B980" s="10" t="s">
        <v>751</v>
      </c>
      <c r="C980" s="13" t="s">
        <v>153</v>
      </c>
      <c r="D980" s="7" t="s">
        <v>1304</v>
      </c>
      <c r="E980" s="2" t="s">
        <v>1306</v>
      </c>
      <c r="F980" s="2" t="s">
        <v>3</v>
      </c>
      <c r="G980" s="31"/>
      <c r="I98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0" t="str">
        <f>IF(tb_zakazchik[[#This Row],[Столбец1]]&lt;&gt;"",SUM($I$2:I980),"")</f>
        <v/>
      </c>
      <c r="K980" t="str">
        <f>IF(tb_zakazchik[[#This Row],[Столбец1]]&lt;&gt;"",tb_baza[[#This Row],[Гос. номер]],"")</f>
        <v/>
      </c>
    </row>
    <row r="981" spans="1:11" x14ac:dyDescent="0.25">
      <c r="A981" s="17" t="s">
        <v>753</v>
      </c>
      <c r="B981" s="10" t="s">
        <v>751</v>
      </c>
      <c r="C981" s="13" t="s">
        <v>153</v>
      </c>
      <c r="D981" s="7" t="s">
        <v>1304</v>
      </c>
      <c r="E981" s="2" t="s">
        <v>1306</v>
      </c>
      <c r="F981" s="2" t="s">
        <v>3</v>
      </c>
      <c r="G981" s="31"/>
      <c r="I98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1" t="str">
        <f>IF(tb_zakazchik[[#This Row],[Столбец1]]&lt;&gt;"",SUM($I$2:I981),"")</f>
        <v/>
      </c>
      <c r="K981" t="str">
        <f>IF(tb_zakazchik[[#This Row],[Столбец1]]&lt;&gt;"",tb_baza[[#This Row],[Гос. номер]],"")</f>
        <v/>
      </c>
    </row>
    <row r="982" spans="1:11" x14ac:dyDescent="0.25">
      <c r="A982" s="17" t="s">
        <v>922</v>
      </c>
      <c r="B982" s="10" t="s">
        <v>751</v>
      </c>
      <c r="C982" s="13" t="s">
        <v>153</v>
      </c>
      <c r="D982" s="7" t="s">
        <v>1304</v>
      </c>
      <c r="E982" s="2" t="s">
        <v>12</v>
      </c>
      <c r="F982" s="2" t="s">
        <v>13</v>
      </c>
      <c r="G982" s="31"/>
      <c r="I98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2" t="str">
        <f>IF(tb_zakazchik[[#This Row],[Столбец1]]&lt;&gt;"",SUM($I$2:I982),"")</f>
        <v/>
      </c>
      <c r="K982" t="str">
        <f>IF(tb_zakazchik[[#This Row],[Столбец1]]&lt;&gt;"",tb_baza[[#This Row],[Гос. номер]],"")</f>
        <v/>
      </c>
    </row>
    <row r="983" spans="1:11" x14ac:dyDescent="0.25">
      <c r="A983" s="17" t="s">
        <v>889</v>
      </c>
      <c r="B983" s="10" t="s">
        <v>751</v>
      </c>
      <c r="C983" s="13" t="s">
        <v>153</v>
      </c>
      <c r="D983" s="7" t="s">
        <v>1304</v>
      </c>
      <c r="E983" s="2" t="s">
        <v>12</v>
      </c>
      <c r="F983" s="2" t="s">
        <v>13</v>
      </c>
      <c r="G983" s="31"/>
      <c r="I98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3" t="str">
        <f>IF(tb_zakazchik[[#This Row],[Столбец1]]&lt;&gt;"",SUM($I$2:I983),"")</f>
        <v/>
      </c>
      <c r="K983" t="str">
        <f>IF(tb_zakazchik[[#This Row],[Столбец1]]&lt;&gt;"",tb_baza[[#This Row],[Гос. номер]],"")</f>
        <v/>
      </c>
    </row>
    <row r="984" spans="1:11" x14ac:dyDescent="0.25">
      <c r="A984" s="17" t="s">
        <v>758</v>
      </c>
      <c r="B984" s="10" t="s">
        <v>21</v>
      </c>
      <c r="C984" s="13" t="s">
        <v>153</v>
      </c>
      <c r="D984" s="7" t="s">
        <v>1263</v>
      </c>
      <c r="E984" s="2" t="s">
        <v>1306</v>
      </c>
      <c r="F984" s="2" t="s">
        <v>13</v>
      </c>
      <c r="G984" s="31"/>
      <c r="I98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4" t="str">
        <f>IF(tb_zakazchik[[#This Row],[Столбец1]]&lt;&gt;"",SUM($I$2:I984),"")</f>
        <v/>
      </c>
      <c r="K984" t="str">
        <f>IF(tb_zakazchik[[#This Row],[Столбец1]]&lt;&gt;"",tb_baza[[#This Row],[Гос. номер]],"")</f>
        <v/>
      </c>
    </row>
    <row r="985" spans="1:11" x14ac:dyDescent="0.25">
      <c r="A985" s="17" t="s">
        <v>233</v>
      </c>
      <c r="B985" s="10" t="s">
        <v>232</v>
      </c>
      <c r="C985" s="13" t="s">
        <v>153</v>
      </c>
      <c r="D985" s="7" t="s">
        <v>1263</v>
      </c>
      <c r="E985" s="2" t="s">
        <v>1306</v>
      </c>
      <c r="F985" s="2" t="s">
        <v>3</v>
      </c>
      <c r="G985" s="31"/>
      <c r="I98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5" t="str">
        <f>IF(tb_zakazchik[[#This Row],[Столбец1]]&lt;&gt;"",SUM($I$2:I985),"")</f>
        <v/>
      </c>
      <c r="K985" t="str">
        <f>IF(tb_zakazchik[[#This Row],[Столбец1]]&lt;&gt;"",tb_baza[[#This Row],[Гос. номер]],"")</f>
        <v/>
      </c>
    </row>
    <row r="986" spans="1:11" x14ac:dyDescent="0.25">
      <c r="A986" s="17" t="s">
        <v>540</v>
      </c>
      <c r="B986" s="10" t="s">
        <v>21</v>
      </c>
      <c r="C986" s="13" t="s">
        <v>153</v>
      </c>
      <c r="D986" s="7" t="s">
        <v>1263</v>
      </c>
      <c r="E986" s="2" t="s">
        <v>1306</v>
      </c>
      <c r="F986" s="2" t="s">
        <v>3</v>
      </c>
      <c r="G986" s="31"/>
      <c r="I98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6" t="str">
        <f>IF(tb_zakazchik[[#This Row],[Столбец1]]&lt;&gt;"",SUM($I$2:I986),"")</f>
        <v/>
      </c>
      <c r="K986" t="str">
        <f>IF(tb_zakazchik[[#This Row],[Столбец1]]&lt;&gt;"",tb_baza[[#This Row],[Гос. номер]],"")</f>
        <v/>
      </c>
    </row>
    <row r="987" spans="1:11" x14ac:dyDescent="0.25">
      <c r="A987" s="17" t="s">
        <v>609</v>
      </c>
      <c r="B987" s="10" t="s">
        <v>21</v>
      </c>
      <c r="C987" s="13" t="s">
        <v>153</v>
      </c>
      <c r="D987" s="7" t="s">
        <v>1263</v>
      </c>
      <c r="E987" s="2" t="s">
        <v>1306</v>
      </c>
      <c r="F987" s="2" t="s">
        <v>3</v>
      </c>
      <c r="G987" s="31"/>
      <c r="I98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7" t="str">
        <f>IF(tb_zakazchik[[#This Row],[Столбец1]]&lt;&gt;"",SUM($I$2:I987),"")</f>
        <v/>
      </c>
      <c r="K987" t="str">
        <f>IF(tb_zakazchik[[#This Row],[Столбец1]]&lt;&gt;"",tb_baza[[#This Row],[Гос. номер]],"")</f>
        <v/>
      </c>
    </row>
    <row r="988" spans="1:11" x14ac:dyDescent="0.25">
      <c r="A988" s="17" t="s">
        <v>538</v>
      </c>
      <c r="B988" s="10" t="s">
        <v>21</v>
      </c>
      <c r="C988" s="13" t="s">
        <v>153</v>
      </c>
      <c r="D988" s="7" t="s">
        <v>1263</v>
      </c>
      <c r="E988" s="2" t="s">
        <v>1306</v>
      </c>
      <c r="F988" s="2" t="s">
        <v>3</v>
      </c>
      <c r="G988" s="31"/>
      <c r="I98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8" t="str">
        <f>IF(tb_zakazchik[[#This Row],[Столбец1]]&lt;&gt;"",SUM($I$2:I988),"")</f>
        <v/>
      </c>
      <c r="K988" t="str">
        <f>IF(tb_zakazchik[[#This Row],[Столбец1]]&lt;&gt;"",tb_baza[[#This Row],[Гос. номер]],"")</f>
        <v/>
      </c>
    </row>
    <row r="989" spans="1:11" x14ac:dyDescent="0.25">
      <c r="A989" s="17" t="s">
        <v>909</v>
      </c>
      <c r="B989" s="10" t="s">
        <v>21</v>
      </c>
      <c r="C989" s="13" t="s">
        <v>153</v>
      </c>
      <c r="D989" s="7" t="s">
        <v>1263</v>
      </c>
      <c r="E989" s="2" t="s">
        <v>1306</v>
      </c>
      <c r="F989" s="2" t="s">
        <v>3</v>
      </c>
      <c r="G989" s="31"/>
      <c r="I98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89" t="str">
        <f>IF(tb_zakazchik[[#This Row],[Столбец1]]&lt;&gt;"",SUM($I$2:I989),"")</f>
        <v/>
      </c>
      <c r="K989" t="str">
        <f>IF(tb_zakazchik[[#This Row],[Столбец1]]&lt;&gt;"",tb_baza[[#This Row],[Гос. номер]],"")</f>
        <v/>
      </c>
    </row>
    <row r="990" spans="1:11" x14ac:dyDescent="0.25">
      <c r="A990" s="17" t="s">
        <v>188</v>
      </c>
      <c r="B990" s="10" t="s">
        <v>21</v>
      </c>
      <c r="C990" s="13" t="s">
        <v>153</v>
      </c>
      <c r="D990" s="7" t="s">
        <v>1263</v>
      </c>
      <c r="E990" s="2" t="s">
        <v>1306</v>
      </c>
      <c r="F990" s="2" t="s">
        <v>3</v>
      </c>
      <c r="G990" s="31"/>
      <c r="I99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0" t="str">
        <f>IF(tb_zakazchik[[#This Row],[Столбец1]]&lt;&gt;"",SUM($I$2:I990),"")</f>
        <v/>
      </c>
      <c r="K990" t="str">
        <f>IF(tb_zakazchik[[#This Row],[Столбец1]]&lt;&gt;"",tb_baza[[#This Row],[Гос. номер]],"")</f>
        <v/>
      </c>
    </row>
    <row r="991" spans="1:11" x14ac:dyDescent="0.25">
      <c r="A991" s="17" t="s">
        <v>738</v>
      </c>
      <c r="B991" s="10" t="s">
        <v>21</v>
      </c>
      <c r="C991" s="13" t="s">
        <v>153</v>
      </c>
      <c r="D991" s="7" t="s">
        <v>1263</v>
      </c>
      <c r="E991" s="2" t="s">
        <v>1306</v>
      </c>
      <c r="F991" s="2" t="s">
        <v>3</v>
      </c>
      <c r="G991" s="31"/>
      <c r="I99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1" t="str">
        <f>IF(tb_zakazchik[[#This Row],[Столбец1]]&lt;&gt;"",SUM($I$2:I991),"")</f>
        <v/>
      </c>
      <c r="K991" t="str">
        <f>IF(tb_zakazchik[[#This Row],[Столбец1]]&lt;&gt;"",tb_baza[[#This Row],[Гос. номер]],"")</f>
        <v/>
      </c>
    </row>
    <row r="992" spans="1:11" x14ac:dyDescent="0.25">
      <c r="A992" s="17" t="s">
        <v>280</v>
      </c>
      <c r="B992" s="10" t="s">
        <v>21</v>
      </c>
      <c r="C992" s="13" t="s">
        <v>153</v>
      </c>
      <c r="D992" s="7" t="s">
        <v>1263</v>
      </c>
      <c r="E992" s="2" t="s">
        <v>1306</v>
      </c>
      <c r="F992" s="2" t="s">
        <v>13</v>
      </c>
      <c r="G992" s="31"/>
      <c r="I99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2" t="str">
        <f>IF(tb_zakazchik[[#This Row],[Столбец1]]&lt;&gt;"",SUM($I$2:I992),"")</f>
        <v/>
      </c>
      <c r="K992" t="str">
        <f>IF(tb_zakazchik[[#This Row],[Столбец1]]&lt;&gt;"",tb_baza[[#This Row],[Гос. номер]],"")</f>
        <v/>
      </c>
    </row>
    <row r="993" spans="1:11" x14ac:dyDescent="0.25">
      <c r="A993" s="17" t="s">
        <v>105</v>
      </c>
      <c r="B993" s="10" t="s">
        <v>21</v>
      </c>
      <c r="C993" s="13" t="s">
        <v>153</v>
      </c>
      <c r="D993" s="7" t="s">
        <v>1263</v>
      </c>
      <c r="E993" s="2" t="s">
        <v>1306</v>
      </c>
      <c r="F993" s="2" t="s">
        <v>13</v>
      </c>
      <c r="G993" s="31"/>
      <c r="I99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3" t="str">
        <f>IF(tb_zakazchik[[#This Row],[Столбец1]]&lt;&gt;"",SUM($I$2:I993),"")</f>
        <v/>
      </c>
      <c r="K993" t="str">
        <f>IF(tb_zakazchik[[#This Row],[Столбец1]]&lt;&gt;"",tb_baza[[#This Row],[Гос. номер]],"")</f>
        <v/>
      </c>
    </row>
    <row r="994" spans="1:11" x14ac:dyDescent="0.25">
      <c r="A994" s="17" t="s">
        <v>929</v>
      </c>
      <c r="B994" s="10" t="s">
        <v>21</v>
      </c>
      <c r="C994" s="13" t="s">
        <v>153</v>
      </c>
      <c r="D994" s="7" t="s">
        <v>1263</v>
      </c>
      <c r="E994" s="2" t="s">
        <v>1306</v>
      </c>
      <c r="F994" s="2" t="s">
        <v>13</v>
      </c>
      <c r="G994" s="31"/>
      <c r="I99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4" t="str">
        <f>IF(tb_zakazchik[[#This Row],[Столбец1]]&lt;&gt;"",SUM($I$2:I994),"")</f>
        <v/>
      </c>
      <c r="K994" t="str">
        <f>IF(tb_zakazchik[[#This Row],[Столбец1]]&lt;&gt;"",tb_baza[[#This Row],[Гос. номер]],"")</f>
        <v/>
      </c>
    </row>
    <row r="995" spans="1:11" x14ac:dyDescent="0.25">
      <c r="A995" s="17" t="s">
        <v>780</v>
      </c>
      <c r="B995" s="10" t="s">
        <v>21</v>
      </c>
      <c r="C995" s="13" t="s">
        <v>153</v>
      </c>
      <c r="D995" s="7" t="s">
        <v>1263</v>
      </c>
      <c r="E995" s="2" t="s">
        <v>1306</v>
      </c>
      <c r="F995" s="2" t="s">
        <v>6</v>
      </c>
      <c r="G995" s="31"/>
      <c r="I99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5" t="str">
        <f>IF(tb_zakazchik[[#This Row],[Столбец1]]&lt;&gt;"",SUM($I$2:I995),"")</f>
        <v/>
      </c>
      <c r="K995" t="str">
        <f>IF(tb_zakazchik[[#This Row],[Столбец1]]&lt;&gt;"",tb_baza[[#This Row],[Гос. номер]],"")</f>
        <v/>
      </c>
    </row>
    <row r="996" spans="1:11" x14ac:dyDescent="0.25">
      <c r="A996" s="17" t="s">
        <v>228</v>
      </c>
      <c r="B996" s="10" t="s">
        <v>21</v>
      </c>
      <c r="C996" s="13" t="s">
        <v>153</v>
      </c>
      <c r="D996" s="7" t="s">
        <v>1263</v>
      </c>
      <c r="E996" s="2" t="s">
        <v>1306</v>
      </c>
      <c r="F996" s="2" t="s">
        <v>6</v>
      </c>
      <c r="G996" s="31"/>
      <c r="I99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6" t="str">
        <f>IF(tb_zakazchik[[#This Row],[Столбец1]]&lt;&gt;"",SUM($I$2:I996),"")</f>
        <v/>
      </c>
      <c r="K996" t="str">
        <f>IF(tb_zakazchik[[#This Row],[Столбец1]]&lt;&gt;"",tb_baza[[#This Row],[Гос. номер]],"")</f>
        <v/>
      </c>
    </row>
    <row r="997" spans="1:11" x14ac:dyDescent="0.25">
      <c r="A997" s="17" t="s">
        <v>559</v>
      </c>
      <c r="B997" s="10" t="s">
        <v>21</v>
      </c>
      <c r="C997" s="13" t="s">
        <v>153</v>
      </c>
      <c r="D997" s="7" t="s">
        <v>1263</v>
      </c>
      <c r="E997" s="2" t="s">
        <v>1306</v>
      </c>
      <c r="F997" s="2" t="s">
        <v>3</v>
      </c>
      <c r="G997" s="31"/>
      <c r="I99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7" t="str">
        <f>IF(tb_zakazchik[[#This Row],[Столбец1]]&lt;&gt;"",SUM($I$2:I997),"")</f>
        <v/>
      </c>
      <c r="K997" t="str">
        <f>IF(tb_zakazchik[[#This Row],[Столбец1]]&lt;&gt;"",tb_baza[[#This Row],[Гос. номер]],"")</f>
        <v/>
      </c>
    </row>
    <row r="998" spans="1:11" x14ac:dyDescent="0.25">
      <c r="A998" s="17" t="s">
        <v>542</v>
      </c>
      <c r="B998" s="10" t="s">
        <v>21</v>
      </c>
      <c r="C998" s="13" t="s">
        <v>153</v>
      </c>
      <c r="D998" s="7" t="s">
        <v>1263</v>
      </c>
      <c r="E998" s="2" t="s">
        <v>1306</v>
      </c>
      <c r="F998" s="2" t="s">
        <v>13</v>
      </c>
      <c r="G998" s="31"/>
      <c r="I99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8" t="str">
        <f>IF(tb_zakazchik[[#This Row],[Столбец1]]&lt;&gt;"",SUM($I$2:I998),"")</f>
        <v/>
      </c>
      <c r="K998" t="str">
        <f>IF(tb_zakazchik[[#This Row],[Столбец1]]&lt;&gt;"",tb_baza[[#This Row],[Гос. номер]],"")</f>
        <v/>
      </c>
    </row>
    <row r="999" spans="1:11" x14ac:dyDescent="0.25">
      <c r="A999" s="17" t="s">
        <v>541</v>
      </c>
      <c r="B999" s="10" t="s">
        <v>21</v>
      </c>
      <c r="C999" s="13" t="s">
        <v>153</v>
      </c>
      <c r="D999" s="7" t="s">
        <v>1263</v>
      </c>
      <c r="E999" s="2" t="s">
        <v>1306</v>
      </c>
      <c r="F999" s="2" t="s">
        <v>13</v>
      </c>
      <c r="G999" s="31"/>
      <c r="I99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999" t="str">
        <f>IF(tb_zakazchik[[#This Row],[Столбец1]]&lt;&gt;"",SUM($I$2:I999),"")</f>
        <v/>
      </c>
      <c r="K999" t="str">
        <f>IF(tb_zakazchik[[#This Row],[Столбец1]]&lt;&gt;"",tb_baza[[#This Row],[Гос. номер]],"")</f>
        <v/>
      </c>
    </row>
    <row r="1000" spans="1:11" x14ac:dyDescent="0.25">
      <c r="A1000" s="17" t="s">
        <v>773</v>
      </c>
      <c r="B1000" s="10" t="s">
        <v>526</v>
      </c>
      <c r="C1000" s="13" t="s">
        <v>153</v>
      </c>
      <c r="D1000" s="7" t="s">
        <v>1263</v>
      </c>
      <c r="E1000" s="2" t="s">
        <v>1306</v>
      </c>
      <c r="F1000" s="2" t="s">
        <v>13</v>
      </c>
      <c r="G1000" s="31"/>
      <c r="I100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0" t="str">
        <f>IF(tb_zakazchik[[#This Row],[Столбец1]]&lt;&gt;"",SUM($I$2:I1000),"")</f>
        <v/>
      </c>
      <c r="K1000" t="str">
        <f>IF(tb_zakazchik[[#This Row],[Столбец1]]&lt;&gt;"",tb_baza[[#This Row],[Гос. номер]],"")</f>
        <v/>
      </c>
    </row>
    <row r="1001" spans="1:11" x14ac:dyDescent="0.25">
      <c r="A1001" s="17" t="s">
        <v>1049</v>
      </c>
      <c r="B1001" s="10" t="s">
        <v>526</v>
      </c>
      <c r="C1001" s="13" t="s">
        <v>153</v>
      </c>
      <c r="D1001" s="7" t="s">
        <v>1263</v>
      </c>
      <c r="E1001" s="2" t="s">
        <v>12</v>
      </c>
      <c r="F1001" s="2" t="s">
        <v>13</v>
      </c>
      <c r="G1001" s="31"/>
      <c r="I100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1" t="str">
        <f>IF(tb_zakazchik[[#This Row],[Столбец1]]&lt;&gt;"",SUM($I$2:I1001),"")</f>
        <v/>
      </c>
      <c r="K1001" t="str">
        <f>IF(tb_zakazchik[[#This Row],[Столбец1]]&lt;&gt;"",tb_baza[[#This Row],[Гос. номер]],"")</f>
        <v/>
      </c>
    </row>
    <row r="1002" spans="1:11" x14ac:dyDescent="0.25">
      <c r="A1002" s="17" t="s">
        <v>942</v>
      </c>
      <c r="B1002" s="10" t="s">
        <v>158</v>
      </c>
      <c r="C1002" s="13" t="s">
        <v>153</v>
      </c>
      <c r="D1002" s="7" t="s">
        <v>1263</v>
      </c>
      <c r="E1002" s="2" t="s">
        <v>12</v>
      </c>
      <c r="F1002" s="2" t="s">
        <v>13</v>
      </c>
      <c r="G1002" s="31"/>
      <c r="I100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2" t="str">
        <f>IF(tb_zakazchik[[#This Row],[Столбец1]]&lt;&gt;"",SUM($I$2:I1002),"")</f>
        <v/>
      </c>
      <c r="K1002" t="str">
        <f>IF(tb_zakazchik[[#This Row],[Столбец1]]&lt;&gt;"",tb_baza[[#This Row],[Гос. номер]],"")</f>
        <v/>
      </c>
    </row>
    <row r="1003" spans="1:11" x14ac:dyDescent="0.25">
      <c r="A1003" s="17" t="s">
        <v>955</v>
      </c>
      <c r="B1003" s="10" t="s">
        <v>158</v>
      </c>
      <c r="C1003" s="13" t="s">
        <v>153</v>
      </c>
      <c r="D1003" s="7" t="s">
        <v>1263</v>
      </c>
      <c r="E1003" s="2" t="s">
        <v>12</v>
      </c>
      <c r="F1003" s="2" t="s">
        <v>13</v>
      </c>
      <c r="G1003" s="31"/>
      <c r="I100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3" t="str">
        <f>IF(tb_zakazchik[[#This Row],[Столбец1]]&lt;&gt;"",SUM($I$2:I1003),"")</f>
        <v/>
      </c>
      <c r="K1003" t="str">
        <f>IF(tb_zakazchik[[#This Row],[Столбец1]]&lt;&gt;"",tb_baza[[#This Row],[Гос. номер]],"")</f>
        <v/>
      </c>
    </row>
    <row r="1004" spans="1:11" x14ac:dyDescent="0.25">
      <c r="A1004" s="17" t="s">
        <v>943</v>
      </c>
      <c r="B1004" s="10" t="s">
        <v>158</v>
      </c>
      <c r="C1004" s="13" t="s">
        <v>153</v>
      </c>
      <c r="D1004" s="7" t="s">
        <v>1263</v>
      </c>
      <c r="E1004" s="2" t="s">
        <v>12</v>
      </c>
      <c r="F1004" s="2" t="s">
        <v>13</v>
      </c>
      <c r="G1004" s="31"/>
      <c r="I100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4" t="str">
        <f>IF(tb_zakazchik[[#This Row],[Столбец1]]&lt;&gt;"",SUM($I$2:I1004),"")</f>
        <v/>
      </c>
      <c r="K1004" t="str">
        <f>IF(tb_zakazchik[[#This Row],[Столбец1]]&lt;&gt;"",tb_baza[[#This Row],[Гос. номер]],"")</f>
        <v/>
      </c>
    </row>
    <row r="1005" spans="1:11" x14ac:dyDescent="0.25">
      <c r="A1005" s="17" t="s">
        <v>1000</v>
      </c>
      <c r="B1005" s="10" t="s">
        <v>158</v>
      </c>
      <c r="C1005" s="13" t="s">
        <v>153</v>
      </c>
      <c r="D1005" s="7" t="s">
        <v>1263</v>
      </c>
      <c r="E1005" s="2" t="s">
        <v>12</v>
      </c>
      <c r="F1005" s="2" t="s">
        <v>13</v>
      </c>
      <c r="G1005" s="31"/>
      <c r="I100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5" t="str">
        <f>IF(tb_zakazchik[[#This Row],[Столбец1]]&lt;&gt;"",SUM($I$2:I1005),"")</f>
        <v/>
      </c>
      <c r="K1005" t="str">
        <f>IF(tb_zakazchik[[#This Row],[Столбец1]]&lt;&gt;"",tb_baza[[#This Row],[Гос. номер]],"")</f>
        <v/>
      </c>
    </row>
    <row r="1006" spans="1:11" x14ac:dyDescent="0.25">
      <c r="A1006" s="17" t="s">
        <v>159</v>
      </c>
      <c r="B1006" s="10" t="s">
        <v>158</v>
      </c>
      <c r="C1006" s="13" t="s">
        <v>153</v>
      </c>
      <c r="D1006" s="7" t="s">
        <v>1263</v>
      </c>
      <c r="E1006" s="2" t="s">
        <v>12</v>
      </c>
      <c r="F1006" s="2" t="s">
        <v>13</v>
      </c>
      <c r="G1006" s="31"/>
      <c r="I100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6" t="str">
        <f>IF(tb_zakazchik[[#This Row],[Столбец1]]&lt;&gt;"",SUM($I$2:I1006),"")</f>
        <v/>
      </c>
      <c r="K1006" t="str">
        <f>IF(tb_zakazchik[[#This Row],[Столбец1]]&lt;&gt;"",tb_baza[[#This Row],[Гос. номер]],"")</f>
        <v/>
      </c>
    </row>
    <row r="1007" spans="1:11" x14ac:dyDescent="0.25">
      <c r="A1007" s="17" t="s">
        <v>945</v>
      </c>
      <c r="B1007" s="10" t="s">
        <v>158</v>
      </c>
      <c r="C1007" s="13" t="s">
        <v>153</v>
      </c>
      <c r="D1007" s="7" t="s">
        <v>1263</v>
      </c>
      <c r="E1007" s="2" t="s">
        <v>12</v>
      </c>
      <c r="F1007" s="2" t="s">
        <v>13</v>
      </c>
      <c r="G1007" s="31"/>
      <c r="I100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7" t="str">
        <f>IF(tb_zakazchik[[#This Row],[Столбец1]]&lt;&gt;"",SUM($I$2:I1007),"")</f>
        <v/>
      </c>
      <c r="K1007" t="str">
        <f>IF(tb_zakazchik[[#This Row],[Столбец1]]&lt;&gt;"",tb_baza[[#This Row],[Гос. номер]],"")</f>
        <v/>
      </c>
    </row>
    <row r="1008" spans="1:11" x14ac:dyDescent="0.25">
      <c r="A1008" s="17" t="s">
        <v>946</v>
      </c>
      <c r="B1008" s="10" t="s">
        <v>158</v>
      </c>
      <c r="C1008" s="13" t="s">
        <v>153</v>
      </c>
      <c r="D1008" s="7" t="s">
        <v>1263</v>
      </c>
      <c r="E1008" s="2" t="s">
        <v>12</v>
      </c>
      <c r="F1008" s="2" t="s">
        <v>13</v>
      </c>
      <c r="G1008" s="31"/>
      <c r="I100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8" t="str">
        <f>IF(tb_zakazchik[[#This Row],[Столбец1]]&lt;&gt;"",SUM($I$2:I1008),"")</f>
        <v/>
      </c>
      <c r="K1008" t="str">
        <f>IF(tb_zakazchik[[#This Row],[Столбец1]]&lt;&gt;"",tb_baza[[#This Row],[Гос. номер]],"")</f>
        <v/>
      </c>
    </row>
    <row r="1009" spans="1:11" x14ac:dyDescent="0.25">
      <c r="A1009" s="17" t="s">
        <v>231</v>
      </c>
      <c r="B1009" s="10" t="s">
        <v>158</v>
      </c>
      <c r="C1009" s="13" t="s">
        <v>153</v>
      </c>
      <c r="D1009" s="7" t="s">
        <v>1263</v>
      </c>
      <c r="E1009" s="2" t="s">
        <v>12</v>
      </c>
      <c r="F1009" s="2" t="s">
        <v>13</v>
      </c>
      <c r="G1009" s="31"/>
      <c r="I100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09" t="str">
        <f>IF(tb_zakazchik[[#This Row],[Столбец1]]&lt;&gt;"",SUM($I$2:I1009),"")</f>
        <v/>
      </c>
      <c r="K1009" t="str">
        <f>IF(tb_zakazchik[[#This Row],[Столбец1]]&lt;&gt;"",tb_baza[[#This Row],[Гос. номер]],"")</f>
        <v/>
      </c>
    </row>
    <row r="1010" spans="1:11" x14ac:dyDescent="0.25">
      <c r="A1010" s="17" t="s">
        <v>966</v>
      </c>
      <c r="B1010" s="10" t="s">
        <v>158</v>
      </c>
      <c r="C1010" s="13" t="s">
        <v>153</v>
      </c>
      <c r="D1010" s="7" t="s">
        <v>1263</v>
      </c>
      <c r="E1010" s="2" t="s">
        <v>12</v>
      </c>
      <c r="F1010" s="2" t="s">
        <v>13</v>
      </c>
      <c r="G1010" s="31"/>
      <c r="I101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0" t="str">
        <f>IF(tb_zakazchik[[#This Row],[Столбец1]]&lt;&gt;"",SUM($I$2:I1010),"")</f>
        <v/>
      </c>
      <c r="K1010" t="str">
        <f>IF(tb_zakazchik[[#This Row],[Столбец1]]&lt;&gt;"",tb_baza[[#This Row],[Гос. номер]],"")</f>
        <v/>
      </c>
    </row>
    <row r="1011" spans="1:11" x14ac:dyDescent="0.25">
      <c r="A1011" s="17" t="s">
        <v>262</v>
      </c>
      <c r="B1011" s="10" t="s">
        <v>32</v>
      </c>
      <c r="C1011" s="13" t="s">
        <v>101</v>
      </c>
      <c r="D1011" s="7" t="s">
        <v>32</v>
      </c>
      <c r="E1011" s="2" t="s">
        <v>2</v>
      </c>
      <c r="F1011" s="2" t="s">
        <v>6</v>
      </c>
      <c r="G1011" s="31"/>
      <c r="I101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1" t="str">
        <f>IF(tb_zakazchik[[#This Row],[Столбец1]]&lt;&gt;"",SUM($I$2:I1011),"")</f>
        <v/>
      </c>
      <c r="K1011" t="str">
        <f>IF(tb_zakazchik[[#This Row],[Столбец1]]&lt;&gt;"",tb_baza[[#This Row],[Гос. номер]],"")</f>
        <v/>
      </c>
    </row>
    <row r="1012" spans="1:11" x14ac:dyDescent="0.25">
      <c r="A1012" s="17" t="s">
        <v>100</v>
      </c>
      <c r="B1012" s="10" t="s">
        <v>32</v>
      </c>
      <c r="C1012" s="13" t="s">
        <v>101</v>
      </c>
      <c r="D1012" s="7" t="s">
        <v>32</v>
      </c>
      <c r="E1012" s="2" t="s">
        <v>2</v>
      </c>
      <c r="F1012" s="2" t="s">
        <v>6</v>
      </c>
      <c r="G1012" s="31"/>
      <c r="I101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2" t="str">
        <f>IF(tb_zakazchik[[#This Row],[Столбец1]]&lt;&gt;"",SUM($I$2:I1012),"")</f>
        <v/>
      </c>
      <c r="K1012" t="str">
        <f>IF(tb_zakazchik[[#This Row],[Столбец1]]&lt;&gt;"",tb_baza[[#This Row],[Гос. номер]],"")</f>
        <v/>
      </c>
    </row>
    <row r="1013" spans="1:11" x14ac:dyDescent="0.25">
      <c r="A1013" s="17" t="s">
        <v>264</v>
      </c>
      <c r="B1013" s="10" t="s">
        <v>32</v>
      </c>
      <c r="C1013" s="13" t="s">
        <v>101</v>
      </c>
      <c r="D1013" s="7" t="s">
        <v>32</v>
      </c>
      <c r="E1013" s="2" t="s">
        <v>2</v>
      </c>
      <c r="F1013" s="2" t="s">
        <v>6</v>
      </c>
      <c r="G1013" s="31"/>
      <c r="I101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3" t="str">
        <f>IF(tb_zakazchik[[#This Row],[Столбец1]]&lt;&gt;"",SUM($I$2:I1013),"")</f>
        <v/>
      </c>
      <c r="K1013" t="str">
        <f>IF(tb_zakazchik[[#This Row],[Столбец1]]&lt;&gt;"",tb_baza[[#This Row],[Гос. номер]],"")</f>
        <v/>
      </c>
    </row>
    <row r="1014" spans="1:11" x14ac:dyDescent="0.25">
      <c r="A1014" s="17" t="s">
        <v>263</v>
      </c>
      <c r="B1014" s="10" t="s">
        <v>32</v>
      </c>
      <c r="C1014" s="13" t="s">
        <v>101</v>
      </c>
      <c r="D1014" s="7" t="s">
        <v>32</v>
      </c>
      <c r="E1014" s="2" t="s">
        <v>2</v>
      </c>
      <c r="F1014" s="2" t="s">
        <v>6</v>
      </c>
      <c r="G1014" s="31"/>
      <c r="I101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4" t="str">
        <f>IF(tb_zakazchik[[#This Row],[Столбец1]]&lt;&gt;"",SUM($I$2:I1014),"")</f>
        <v/>
      </c>
      <c r="K1014" t="str">
        <f>IF(tb_zakazchik[[#This Row],[Столбец1]]&lt;&gt;"",tb_baza[[#This Row],[Гос. номер]],"")</f>
        <v/>
      </c>
    </row>
    <row r="1015" spans="1:11" x14ac:dyDescent="0.25">
      <c r="A1015" s="17" t="s">
        <v>1027</v>
      </c>
      <c r="B1015" s="10" t="s">
        <v>32</v>
      </c>
      <c r="C1015" s="13" t="s">
        <v>101</v>
      </c>
      <c r="D1015" s="7" t="s">
        <v>32</v>
      </c>
      <c r="E1015" s="2" t="s">
        <v>2</v>
      </c>
      <c r="F1015" s="2" t="s">
        <v>6</v>
      </c>
      <c r="G1015" s="31"/>
      <c r="I101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5" t="str">
        <f>IF(tb_zakazchik[[#This Row],[Столбец1]]&lt;&gt;"",SUM($I$2:I1015),"")</f>
        <v/>
      </c>
      <c r="K1015" t="str">
        <f>IF(tb_zakazchik[[#This Row],[Столбец1]]&lt;&gt;"",tb_baza[[#This Row],[Гос. номер]],"")</f>
        <v/>
      </c>
    </row>
    <row r="1016" spans="1:11" x14ac:dyDescent="0.25">
      <c r="A1016" s="17" t="s">
        <v>1026</v>
      </c>
      <c r="B1016" s="10" t="s">
        <v>32</v>
      </c>
      <c r="C1016" s="13" t="s">
        <v>101</v>
      </c>
      <c r="D1016" s="7" t="s">
        <v>32</v>
      </c>
      <c r="E1016" s="3"/>
      <c r="F1016" s="2" t="s">
        <v>6</v>
      </c>
      <c r="G1016" s="31"/>
      <c r="I101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6" t="str">
        <f>IF(tb_zakazchik[[#This Row],[Столбец1]]&lt;&gt;"",SUM($I$2:I1016),"")</f>
        <v/>
      </c>
      <c r="K1016" t="str">
        <f>IF(tb_zakazchik[[#This Row],[Столбец1]]&lt;&gt;"",tb_baza[[#This Row],[Гос. номер]],"")</f>
        <v/>
      </c>
    </row>
    <row r="1017" spans="1:11" x14ac:dyDescent="0.25">
      <c r="A1017" s="17" t="s">
        <v>997</v>
      </c>
      <c r="B1017" s="10" t="s">
        <v>32</v>
      </c>
      <c r="C1017" s="13" t="s">
        <v>101</v>
      </c>
      <c r="D1017" s="7" t="s">
        <v>32</v>
      </c>
      <c r="E1017" s="3"/>
      <c r="F1017" s="2" t="s">
        <v>6</v>
      </c>
      <c r="G1017" s="31"/>
      <c r="I101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7" t="str">
        <f>IF(tb_zakazchik[[#This Row],[Столбец1]]&lt;&gt;"",SUM($I$2:I1017),"")</f>
        <v/>
      </c>
      <c r="K1017" t="str">
        <f>IF(tb_zakazchik[[#This Row],[Столбец1]]&lt;&gt;"",tb_baza[[#This Row],[Гос. номер]],"")</f>
        <v/>
      </c>
    </row>
    <row r="1018" spans="1:11" x14ac:dyDescent="0.25">
      <c r="A1018" s="17" t="s">
        <v>1025</v>
      </c>
      <c r="B1018" s="10" t="s">
        <v>32</v>
      </c>
      <c r="C1018" s="13" t="s">
        <v>101</v>
      </c>
      <c r="D1018" s="7" t="s">
        <v>32</v>
      </c>
      <c r="E1018" s="3"/>
      <c r="F1018" s="2" t="s">
        <v>6</v>
      </c>
      <c r="G1018" s="31"/>
      <c r="I101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8" t="str">
        <f>IF(tb_zakazchik[[#This Row],[Столбец1]]&lt;&gt;"",SUM($I$2:I1018),"")</f>
        <v/>
      </c>
      <c r="K1018" t="str">
        <f>IF(tb_zakazchik[[#This Row],[Столбец1]]&lt;&gt;"",tb_baza[[#This Row],[Гос. номер]],"")</f>
        <v/>
      </c>
    </row>
    <row r="1019" spans="1:11" x14ac:dyDescent="0.25">
      <c r="A1019" s="17" t="s">
        <v>1028</v>
      </c>
      <c r="B1019" s="10" t="s">
        <v>32</v>
      </c>
      <c r="C1019" s="13" t="s">
        <v>101</v>
      </c>
      <c r="D1019" s="7" t="s">
        <v>32</v>
      </c>
      <c r="E1019" s="3"/>
      <c r="F1019" s="2" t="s">
        <v>6</v>
      </c>
      <c r="G1019" s="31"/>
      <c r="I101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19" t="str">
        <f>IF(tb_zakazchik[[#This Row],[Столбец1]]&lt;&gt;"",SUM($I$2:I1019),"")</f>
        <v/>
      </c>
      <c r="K1019" t="str">
        <f>IF(tb_zakazchik[[#This Row],[Столбец1]]&lt;&gt;"",tb_baza[[#This Row],[Гос. номер]],"")</f>
        <v/>
      </c>
    </row>
    <row r="1020" spans="1:11" x14ac:dyDescent="0.25">
      <c r="A1020" s="17" t="s">
        <v>363</v>
      </c>
      <c r="B1020" s="10" t="s">
        <v>384</v>
      </c>
      <c r="C1020" s="14"/>
      <c r="D1020" s="7" t="s">
        <v>1273</v>
      </c>
      <c r="E1020" s="3"/>
      <c r="F1020" s="3"/>
      <c r="G1020" s="31"/>
      <c r="I102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0" t="str">
        <f>IF(tb_zakazchik[[#This Row],[Столбец1]]&lt;&gt;"",SUM($I$2:I1020),"")</f>
        <v/>
      </c>
      <c r="K1020" t="str">
        <f>IF(tb_zakazchik[[#This Row],[Столбец1]]&lt;&gt;"",tb_baza[[#This Row],[Гос. номер]],"")</f>
        <v/>
      </c>
    </row>
    <row r="1021" spans="1:11" x14ac:dyDescent="0.25">
      <c r="A1021" s="17" t="s">
        <v>348</v>
      </c>
      <c r="B1021" s="10" t="s">
        <v>172</v>
      </c>
      <c r="C1021" s="14"/>
      <c r="D1021" s="7" t="s">
        <v>1270</v>
      </c>
      <c r="E1021" s="3"/>
      <c r="F1021" s="3"/>
      <c r="G1021" s="31"/>
      <c r="I102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1" t="str">
        <f>IF(tb_zakazchik[[#This Row],[Столбец1]]&lt;&gt;"",SUM($I$2:I1021),"")</f>
        <v/>
      </c>
      <c r="K1021" t="str">
        <f>IF(tb_zakazchik[[#This Row],[Столбец1]]&lt;&gt;"",tb_baza[[#This Row],[Гос. номер]],"")</f>
        <v/>
      </c>
    </row>
    <row r="1022" spans="1:11" x14ac:dyDescent="0.25">
      <c r="A1022" s="17" t="s">
        <v>369</v>
      </c>
      <c r="B1022" s="10" t="s">
        <v>79</v>
      </c>
      <c r="C1022" s="14"/>
      <c r="D1022" s="7" t="s">
        <v>1276</v>
      </c>
      <c r="E1022" s="3"/>
      <c r="F1022" s="3"/>
      <c r="G1022" s="31"/>
      <c r="I102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2" t="str">
        <f>IF(tb_zakazchik[[#This Row],[Столбец1]]&lt;&gt;"",SUM($I$2:I1022),"")</f>
        <v/>
      </c>
      <c r="K1022" t="str">
        <f>IF(tb_zakazchik[[#This Row],[Столбец1]]&lt;&gt;"",tb_baza[[#This Row],[Гос. номер]],"")</f>
        <v/>
      </c>
    </row>
    <row r="1023" spans="1:11" x14ac:dyDescent="0.25">
      <c r="A1023" s="17" t="s">
        <v>377</v>
      </c>
      <c r="B1023" s="10" t="s">
        <v>376</v>
      </c>
      <c r="C1023" s="14"/>
      <c r="D1023" s="7" t="s">
        <v>1276</v>
      </c>
      <c r="E1023" s="3"/>
      <c r="F1023" s="3"/>
      <c r="G1023" s="31"/>
      <c r="I102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3" t="str">
        <f>IF(tb_zakazchik[[#This Row],[Столбец1]]&lt;&gt;"",SUM($I$2:I1023),"")</f>
        <v/>
      </c>
      <c r="K1023" t="str">
        <f>IF(tb_zakazchik[[#This Row],[Столбец1]]&lt;&gt;"",tb_baza[[#This Row],[Гос. номер]],"")</f>
        <v/>
      </c>
    </row>
    <row r="1024" spans="1:11" x14ac:dyDescent="0.25">
      <c r="A1024" s="17" t="s">
        <v>374</v>
      </c>
      <c r="B1024" s="10" t="s">
        <v>373</v>
      </c>
      <c r="C1024" s="14"/>
      <c r="D1024" s="7" t="s">
        <v>1271</v>
      </c>
      <c r="E1024" s="3"/>
      <c r="F1024" s="3"/>
      <c r="G1024" s="31"/>
      <c r="I102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4" t="str">
        <f>IF(tb_zakazchik[[#This Row],[Столбец1]]&lt;&gt;"",SUM($I$2:I1024),"")</f>
        <v/>
      </c>
      <c r="K1024" t="str">
        <f>IF(tb_zakazchik[[#This Row],[Столбец1]]&lt;&gt;"",tb_baza[[#This Row],[Гос. номер]],"")</f>
        <v/>
      </c>
    </row>
    <row r="1025" spans="1:11" x14ac:dyDescent="0.25">
      <c r="A1025" s="17" t="s">
        <v>381</v>
      </c>
      <c r="B1025" s="10" t="s">
        <v>7</v>
      </c>
      <c r="C1025" s="14"/>
      <c r="D1025" s="7" t="s">
        <v>1286</v>
      </c>
      <c r="E1025" s="3"/>
      <c r="F1025" s="3"/>
      <c r="G1025" s="31"/>
      <c r="I102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5" t="str">
        <f>IF(tb_zakazchik[[#This Row],[Столбец1]]&lt;&gt;"",SUM($I$2:I1025),"")</f>
        <v/>
      </c>
      <c r="K1025" t="str">
        <f>IF(tb_zakazchik[[#This Row],[Столбец1]]&lt;&gt;"",tb_baza[[#This Row],[Гос. номер]],"")</f>
        <v/>
      </c>
    </row>
    <row r="1026" spans="1:11" x14ac:dyDescent="0.25">
      <c r="A1026" s="17" t="s">
        <v>367</v>
      </c>
      <c r="B1026" s="10" t="s">
        <v>123</v>
      </c>
      <c r="C1026" s="14"/>
      <c r="D1026" s="7" t="s">
        <v>1274</v>
      </c>
      <c r="E1026" s="3"/>
      <c r="F1026" s="3"/>
      <c r="G1026" s="31"/>
      <c r="I102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6" t="str">
        <f>IF(tb_zakazchik[[#This Row],[Столбец1]]&lt;&gt;"",SUM($I$2:I1026),"")</f>
        <v/>
      </c>
      <c r="K1026" t="str">
        <f>IF(tb_zakazchik[[#This Row],[Столбец1]]&lt;&gt;"",tb_baza[[#This Row],[Гос. номер]],"")</f>
        <v/>
      </c>
    </row>
    <row r="1027" spans="1:11" x14ac:dyDescent="0.25">
      <c r="A1027" s="17" t="s">
        <v>382</v>
      </c>
      <c r="B1027" s="10" t="s">
        <v>123</v>
      </c>
      <c r="C1027" s="14"/>
      <c r="D1027" s="7" t="s">
        <v>1274</v>
      </c>
      <c r="E1027" s="3"/>
      <c r="F1027" s="3"/>
      <c r="G1027" s="31"/>
      <c r="I1027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7" t="str">
        <f>IF(tb_zakazchik[[#This Row],[Столбец1]]&lt;&gt;"",SUM($I$2:I1027),"")</f>
        <v/>
      </c>
      <c r="K1027" t="str">
        <f>IF(tb_zakazchik[[#This Row],[Столбец1]]&lt;&gt;"",tb_baza[[#This Row],[Гос. номер]],"")</f>
        <v/>
      </c>
    </row>
    <row r="1028" spans="1:11" x14ac:dyDescent="0.25">
      <c r="A1028" s="17" t="s">
        <v>383</v>
      </c>
      <c r="B1028" s="10" t="s">
        <v>51</v>
      </c>
      <c r="C1028" s="14"/>
      <c r="D1028" s="7" t="s">
        <v>1274</v>
      </c>
      <c r="E1028" s="3"/>
      <c r="F1028" s="3"/>
      <c r="G1028" s="31"/>
      <c r="I1028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8" t="str">
        <f>IF(tb_zakazchik[[#This Row],[Столбец1]]&lt;&gt;"",SUM($I$2:I1028),"")</f>
        <v/>
      </c>
      <c r="K1028" t="str">
        <f>IF(tb_zakazchik[[#This Row],[Столбец1]]&lt;&gt;"",tb_baza[[#This Row],[Гос. номер]],"")</f>
        <v/>
      </c>
    </row>
    <row r="1029" spans="1:11" x14ac:dyDescent="0.25">
      <c r="A1029" s="17" t="s">
        <v>238</v>
      </c>
      <c r="B1029" s="10" t="s">
        <v>97</v>
      </c>
      <c r="C1029" s="14"/>
      <c r="D1029" s="7" t="s">
        <v>1296</v>
      </c>
      <c r="E1029" s="3"/>
      <c r="F1029" s="3"/>
      <c r="G1029" s="31"/>
      <c r="I1029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29" t="str">
        <f>IF(tb_zakazchik[[#This Row],[Столбец1]]&lt;&gt;"",SUM($I$2:I1029),"")</f>
        <v/>
      </c>
      <c r="K1029" t="str">
        <f>IF(tb_zakazchik[[#This Row],[Столбец1]]&lt;&gt;"",tb_baza[[#This Row],[Гос. номер]],"")</f>
        <v/>
      </c>
    </row>
    <row r="1030" spans="1:11" x14ac:dyDescent="0.25">
      <c r="A1030" s="17" t="s">
        <v>368</v>
      </c>
      <c r="B1030" s="10" t="s">
        <v>4</v>
      </c>
      <c r="C1030" s="14"/>
      <c r="D1030" s="7" t="s">
        <v>1269</v>
      </c>
      <c r="E1030" s="3"/>
      <c r="F1030" s="3"/>
      <c r="G1030" s="31"/>
      <c r="I1030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30" t="str">
        <f>IF(tb_zakazchik[[#This Row],[Столбец1]]&lt;&gt;"",SUM($I$2:I1030),"")</f>
        <v/>
      </c>
      <c r="K1030" t="str">
        <f>IF(tb_zakazchik[[#This Row],[Столбец1]]&lt;&gt;"",tb_baza[[#This Row],[Гос. номер]],"")</f>
        <v/>
      </c>
    </row>
    <row r="1031" spans="1:11" x14ac:dyDescent="0.25">
      <c r="A1031" s="17" t="s">
        <v>352</v>
      </c>
      <c r="B1031" s="10" t="s">
        <v>4</v>
      </c>
      <c r="C1031" s="14"/>
      <c r="D1031" s="7" t="s">
        <v>1269</v>
      </c>
      <c r="E1031" s="3"/>
      <c r="F1031" s="3"/>
      <c r="G1031" s="31"/>
      <c r="I1031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31" t="str">
        <f>IF(tb_zakazchik[[#This Row],[Столбец1]]&lt;&gt;"",SUM($I$2:I1031),"")</f>
        <v/>
      </c>
      <c r="K1031" t="str">
        <f>IF(tb_zakazchik[[#This Row],[Столбец1]]&lt;&gt;"",tb_baza[[#This Row],[Гос. номер]],"")</f>
        <v/>
      </c>
    </row>
    <row r="1032" spans="1:11" x14ac:dyDescent="0.25">
      <c r="A1032" s="17" t="s">
        <v>370</v>
      </c>
      <c r="B1032" s="10" t="s">
        <v>97</v>
      </c>
      <c r="C1032" s="14"/>
      <c r="D1032" s="21" t="s">
        <v>1278</v>
      </c>
      <c r="E1032" s="3"/>
      <c r="F1032" s="3"/>
      <c r="G1032" s="31"/>
      <c r="I1032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32" t="str">
        <f>IF(tb_zakazchik[[#This Row],[Столбец1]]&lt;&gt;"",SUM($I$2:I1032),"")</f>
        <v/>
      </c>
      <c r="K1032" t="str">
        <f>IF(tb_zakazchik[[#This Row],[Столбец1]]&lt;&gt;"",tb_baza[[#This Row],[Гос. номер]],"")</f>
        <v/>
      </c>
    </row>
    <row r="1033" spans="1:11" x14ac:dyDescent="0.25">
      <c r="A1033" s="17" t="s">
        <v>372</v>
      </c>
      <c r="B1033" s="10" t="s">
        <v>371</v>
      </c>
      <c r="C1033" s="14"/>
      <c r="D1033" s="21" t="s">
        <v>1278</v>
      </c>
      <c r="E1033" s="3"/>
      <c r="F1033" s="3"/>
      <c r="G1033" s="31"/>
      <c r="I1033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33" t="str">
        <f>IF(tb_zakazchik[[#This Row],[Столбец1]]&lt;&gt;"",SUM($I$2:I1033),"")</f>
        <v/>
      </c>
      <c r="K1033" t="str">
        <f>IF(tb_zakazchik[[#This Row],[Столбец1]]&lt;&gt;"",tb_baza[[#This Row],[Гос. номер]],"")</f>
        <v/>
      </c>
    </row>
    <row r="1034" spans="1:11" x14ac:dyDescent="0.25">
      <c r="A1034" s="17" t="s">
        <v>343</v>
      </c>
      <c r="B1034" s="10" t="s">
        <v>97</v>
      </c>
      <c r="C1034" s="14"/>
      <c r="D1034" s="21" t="s">
        <v>1278</v>
      </c>
      <c r="E1034" s="3"/>
      <c r="F1034" s="3"/>
      <c r="G1034" s="31"/>
      <c r="I1034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34" t="str">
        <f>IF(tb_zakazchik[[#This Row],[Столбец1]]&lt;&gt;"",SUM($I$2:I1034),"")</f>
        <v/>
      </c>
      <c r="K1034" t="str">
        <f>IF(tb_zakazchik[[#This Row],[Столбец1]]&lt;&gt;"",tb_baza[[#This Row],[Гос. номер]],"")</f>
        <v/>
      </c>
    </row>
    <row r="1035" spans="1:11" x14ac:dyDescent="0.25">
      <c r="A1035" s="17" t="s">
        <v>350</v>
      </c>
      <c r="B1035" s="10" t="s">
        <v>113</v>
      </c>
      <c r="C1035" s="14"/>
      <c r="D1035" s="7" t="s">
        <v>1275</v>
      </c>
      <c r="E1035" s="3"/>
      <c r="F1035" s="3"/>
      <c r="G1035" s="31"/>
      <c r="I1035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35" t="str">
        <f>IF(tb_zakazchik[[#This Row],[Столбец1]]&lt;&gt;"",SUM($I$2:I1035),"")</f>
        <v/>
      </c>
      <c r="K1035" t="str">
        <f>IF(tb_zakazchik[[#This Row],[Столбец1]]&lt;&gt;"",tb_baza[[#This Row],[Гос. номер]],"")</f>
        <v/>
      </c>
    </row>
    <row r="1036" spans="1:11" ht="15.75" thickBot="1" x14ac:dyDescent="0.3">
      <c r="A1036" s="18" t="s">
        <v>375</v>
      </c>
      <c r="B1036" s="20" t="s">
        <v>21</v>
      </c>
      <c r="C1036" s="14"/>
      <c r="D1036" s="22" t="s">
        <v>1263</v>
      </c>
      <c r="E1036" s="4"/>
      <c r="F1036" s="4"/>
      <c r="G1036" s="31"/>
      <c r="I1036" t="str">
        <f>IF(OR(IFERROR(SEARCH(Управление!$M$3,tb_baza[[#This Row],[Гос. номер]]),"")&lt;&gt;"",IFERROR(SEARCH(Управление!$M$4,tb_baza[[#This Row],[Гос. номер]]),"")&lt;&gt;"",IFERROR(SEARCH(Управление!$M$5,tb_baza[[#This Row],[Гос. номер]]),"")&lt;&gt;"",IFERROR(SEARCH(Управление!$M$6,tb_baza[[#This Row],[Гос. номер]]),"")&lt;&gt;"",IFERROR(SEARCH(Управление!$M$7,tb_baza[[#This Row],[Гос. номер]]),"")&lt;&gt;"",IFERROR(SEARCH(Управление!$M$8,tb_baza[[#This Row],[Гос. номер]]),"")&lt;&gt;""),1,"")</f>
        <v/>
      </c>
      <c r="J1036" t="str">
        <f>IF(tb_zakazchik[[#This Row],[Столбец1]]&lt;&gt;"",SUM($I$2:I1036),"")</f>
        <v/>
      </c>
      <c r="K1036" t="str">
        <f>IF(tb_zakazchik[[#This Row],[Столбец1]]&lt;&gt;"",tb_baza[[#This Row],[Гос. номер]],"")</f>
        <v/>
      </c>
    </row>
  </sheetData>
  <phoneticPr fontId="4" type="noConversion"/>
  <pageMargins left="0.78740157480314954" right="0.78740157480314954" top="0.78740157480314954" bottom="0.78740157480314954" header="0.39370078740157477" footer="0.39370078740157477"/>
  <pageSetup paperSize="9" pageOrder="overThenDown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08897-948B-4E93-85CF-9CB5AB51C1AD}">
  <sheetPr codeName="Лист10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Дата"/>
  <dimension ref="A1:N10"/>
  <sheetViews>
    <sheetView topLeftCell="F1" workbookViewId="0">
      <selection activeCell="H28" sqref="H28"/>
    </sheetView>
  </sheetViews>
  <sheetFormatPr defaultRowHeight="15" x14ac:dyDescent="0.25"/>
  <cols>
    <col min="1" max="1" width="6.42578125" hidden="1" customWidth="1"/>
    <col min="2" max="2" width="14.42578125" hidden="1" customWidth="1"/>
    <col min="3" max="3" width="16.7109375" hidden="1" customWidth="1"/>
    <col min="4" max="4" width="11.42578125" hidden="1" customWidth="1"/>
    <col min="5" max="5" width="8.85546875" hidden="1" customWidth="1"/>
    <col min="6" max="6" width="13.85546875" customWidth="1"/>
    <col min="7" max="7" width="11.85546875" customWidth="1"/>
    <col min="8" max="8" width="24.5703125" customWidth="1"/>
    <col min="9" max="9" width="20.5703125" customWidth="1"/>
    <col min="12" max="12" width="0" hidden="1" customWidth="1"/>
    <col min="13" max="13" width="11.7109375" hidden="1" customWidth="1"/>
    <col min="14" max="14" width="21.140625" hidden="1" customWidth="1"/>
  </cols>
  <sheetData>
    <row r="1" spans="1:14" ht="15" customHeight="1" x14ac:dyDescent="0.25">
      <c r="A1" s="39">
        <v>44197</v>
      </c>
      <c r="B1" s="39"/>
      <c r="C1" s="39"/>
      <c r="D1" s="39"/>
      <c r="E1" s="39"/>
      <c r="F1" s="24"/>
    </row>
    <row r="2" spans="1:14" ht="15" customHeight="1" thickBot="1" x14ac:dyDescent="0.3">
      <c r="A2" s="39"/>
      <c r="B2" s="39"/>
      <c r="C2" s="39"/>
      <c r="D2" s="39"/>
      <c r="E2" s="39"/>
      <c r="F2" s="23"/>
    </row>
    <row r="3" spans="1:14" s="1" customFormat="1" ht="18.75" customHeight="1" thickBot="1" x14ac:dyDescent="0.3">
      <c r="A3" s="29" t="s">
        <v>1318</v>
      </c>
      <c r="B3" s="30" t="s">
        <v>1317</v>
      </c>
      <c r="C3" s="29" t="s">
        <v>1316</v>
      </c>
      <c r="D3" s="37"/>
      <c r="E3" s="37"/>
      <c r="L3" s="33" t="s">
        <v>1329</v>
      </c>
      <c r="M3" s="1" t="str">
        <f>"*"&amp;$L$3&amp;"*"</f>
        <v>*654*</v>
      </c>
      <c r="N3" s="33" t="s">
        <v>15</v>
      </c>
    </row>
    <row r="4" spans="1:14" x14ac:dyDescent="0.25">
      <c r="A4" s="29">
        <f>ROW(A1)</f>
        <v>1</v>
      </c>
      <c r="B4" s="30"/>
      <c r="C4" s="29"/>
      <c r="D4" s="38"/>
      <c r="E4" s="38"/>
      <c r="M4" s="1" t="str">
        <f>$L$3&amp;"*"</f>
        <v>654*</v>
      </c>
    </row>
    <row r="5" spans="1:14" x14ac:dyDescent="0.25">
      <c r="A5" s="29"/>
      <c r="B5" s="30"/>
      <c r="C5" s="29"/>
      <c r="D5" s="38"/>
      <c r="E5" s="38"/>
      <c r="M5" s="1" t="str">
        <f>"?"&amp;$L$3&amp;"?"</f>
        <v>?654?</v>
      </c>
    </row>
    <row r="6" spans="1:14" x14ac:dyDescent="0.25">
      <c r="A6" s="29"/>
      <c r="B6" s="30"/>
      <c r="C6" s="29"/>
      <c r="D6" s="38"/>
      <c r="E6" s="38"/>
      <c r="M6" s="1" t="str">
        <f>$L$3&amp;"?"</f>
        <v>654?</v>
      </c>
    </row>
    <row r="7" spans="1:14" x14ac:dyDescent="0.25">
      <c r="A7" s="29"/>
      <c r="B7" s="30"/>
      <c r="C7" s="29"/>
      <c r="M7" s="1" t="str">
        <f>"*"&amp;$L$3</f>
        <v>*654</v>
      </c>
    </row>
    <row r="8" spans="1:14" x14ac:dyDescent="0.25">
      <c r="A8" s="29"/>
      <c r="B8" s="30"/>
      <c r="C8" s="29"/>
      <c r="M8" s="1" t="str">
        <f>"?"&amp;$L$3</f>
        <v>?654</v>
      </c>
    </row>
    <row r="9" spans="1:14" x14ac:dyDescent="0.25">
      <c r="M9" s="1"/>
    </row>
    <row r="10" spans="1:14" x14ac:dyDescent="0.25">
      <c r="M10" s="1"/>
    </row>
  </sheetData>
  <mergeCells count="1">
    <mergeCell ref="A1:E2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5</xdr:col>
                <xdr:colOff>0</xdr:colOff>
                <xdr:row>0</xdr:row>
                <xdr:rowOff>9525</xdr:rowOff>
              </from>
              <to>
                <xdr:col>8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addingNewCar">
            <anchor moveWithCells="1" sizeWithCells="1">
              <from>
                <xdr:col>5</xdr:col>
                <xdr:colOff>0</xdr:colOff>
                <xdr:row>2</xdr:row>
                <xdr:rowOff>19050</xdr:rowOff>
              </from>
              <to>
                <xdr:col>8</xdr:col>
                <xdr:colOff>0</xdr:colOff>
                <xdr:row>4</xdr:row>
                <xdr:rowOff>0</xdr:rowOff>
              </to>
            </anchor>
          </controlPr>
        </control>
      </mc:Choice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Скрыто!$B$2:$B$31</xm:f>
          </x14:formula1>
          <xm:sqref>N3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I19"/>
  <sheetViews>
    <sheetView workbookViewId="0">
      <selection activeCell="D32" sqref="D32"/>
    </sheetView>
  </sheetViews>
  <sheetFormatPr defaultRowHeight="15" x14ac:dyDescent="0.25"/>
  <cols>
    <col min="1" max="1" width="6.42578125" customWidth="1"/>
    <col min="2" max="2" width="14.42578125" customWidth="1"/>
    <col min="3" max="3" width="16.7109375" customWidth="1"/>
    <col min="4" max="4" width="11.42578125" customWidth="1"/>
    <col min="6" max="6" width="13.85546875" customWidth="1"/>
    <col min="7" max="7" width="11.85546875" customWidth="1"/>
    <col min="8" max="8" width="23.140625" customWidth="1"/>
    <col min="9" max="9" width="20.5703125" customWidth="1"/>
  </cols>
  <sheetData>
    <row r="1" spans="1:9" ht="15" customHeight="1" x14ac:dyDescent="0.25">
      <c r="A1" s="40">
        <v>44197</v>
      </c>
      <c r="B1" s="40"/>
      <c r="C1" s="40"/>
      <c r="D1" s="40"/>
      <c r="E1" s="40"/>
      <c r="F1" s="24"/>
    </row>
    <row r="2" spans="1:9" ht="15" customHeight="1" x14ac:dyDescent="0.25">
      <c r="A2" s="41"/>
      <c r="B2" s="41"/>
      <c r="C2" s="41"/>
      <c r="D2" s="41"/>
      <c r="E2" s="41"/>
      <c r="F2" s="23"/>
    </row>
    <row r="3" spans="1:9" s="1" customFormat="1" ht="45.75" customHeight="1" x14ac:dyDescent="0.25">
      <c r="A3" s="25" t="s">
        <v>1318</v>
      </c>
      <c r="B3" s="27" t="s">
        <v>1317</v>
      </c>
      <c r="C3" s="25" t="s">
        <v>1316</v>
      </c>
      <c r="D3" s="25" t="s">
        <v>1315</v>
      </c>
      <c r="E3" s="25" t="s">
        <v>1305</v>
      </c>
      <c r="F3" s="25" t="s">
        <v>1314</v>
      </c>
      <c r="G3" s="25" t="s">
        <v>1313</v>
      </c>
      <c r="H3" s="25" t="s">
        <v>1312</v>
      </c>
      <c r="I3" s="26" t="s">
        <v>1319</v>
      </c>
    </row>
    <row r="4" spans="1:9" x14ac:dyDescent="0.25">
      <c r="A4">
        <f>ROW(A1)</f>
        <v>1</v>
      </c>
    </row>
    <row r="5" spans="1:9" x14ac:dyDescent="0.25">
      <c r="A5">
        <f t="shared" ref="A5:A19" si="0">ROW(A2)</f>
        <v>2</v>
      </c>
    </row>
    <row r="6" spans="1:9" x14ac:dyDescent="0.25">
      <c r="A6">
        <f t="shared" si="0"/>
        <v>3</v>
      </c>
    </row>
    <row r="7" spans="1:9" x14ac:dyDescent="0.25">
      <c r="A7">
        <f t="shared" si="0"/>
        <v>4</v>
      </c>
    </row>
    <row r="8" spans="1:9" x14ac:dyDescent="0.25">
      <c r="A8">
        <f t="shared" si="0"/>
        <v>5</v>
      </c>
    </row>
    <row r="9" spans="1:9" x14ac:dyDescent="0.25">
      <c r="A9">
        <f t="shared" si="0"/>
        <v>6</v>
      </c>
    </row>
    <row r="10" spans="1:9" x14ac:dyDescent="0.25">
      <c r="A10">
        <f t="shared" si="0"/>
        <v>7</v>
      </c>
    </row>
    <row r="11" spans="1:9" x14ac:dyDescent="0.25">
      <c r="A11">
        <f t="shared" si="0"/>
        <v>8</v>
      </c>
    </row>
    <row r="12" spans="1:9" x14ac:dyDescent="0.25">
      <c r="A12">
        <f t="shared" si="0"/>
        <v>9</v>
      </c>
    </row>
    <row r="13" spans="1:9" x14ac:dyDescent="0.25">
      <c r="A13">
        <f t="shared" si="0"/>
        <v>10</v>
      </c>
    </row>
    <row r="14" spans="1:9" x14ac:dyDescent="0.25">
      <c r="A14">
        <f t="shared" si="0"/>
        <v>11</v>
      </c>
    </row>
    <row r="15" spans="1:9" x14ac:dyDescent="0.25">
      <c r="A15">
        <f t="shared" si="0"/>
        <v>12</v>
      </c>
    </row>
    <row r="16" spans="1:9" x14ac:dyDescent="0.25">
      <c r="A16">
        <f t="shared" si="0"/>
        <v>13</v>
      </c>
    </row>
    <row r="17" spans="1:1" x14ac:dyDescent="0.25">
      <c r="A17">
        <f t="shared" si="0"/>
        <v>14</v>
      </c>
    </row>
    <row r="18" spans="1:1" x14ac:dyDescent="0.25">
      <c r="A18">
        <f t="shared" si="0"/>
        <v>15</v>
      </c>
    </row>
    <row r="19" spans="1:1" x14ac:dyDescent="0.25">
      <c r="A19">
        <f t="shared" si="0"/>
        <v>16</v>
      </c>
    </row>
  </sheetData>
  <mergeCells count="1">
    <mergeCell ref="A1:E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:J143"/>
  <sheetViews>
    <sheetView workbookViewId="0">
      <selection activeCell="G2" sqref="G2"/>
    </sheetView>
  </sheetViews>
  <sheetFormatPr defaultRowHeight="15" x14ac:dyDescent="0.25"/>
  <cols>
    <col min="2" max="2" width="13.140625" customWidth="1"/>
    <col min="4" max="9" width="16.42578125" customWidth="1"/>
  </cols>
  <sheetData>
    <row r="1" spans="1:10" ht="15.75" thickBot="1" x14ac:dyDescent="0.3">
      <c r="A1" t="s">
        <v>1327</v>
      </c>
      <c r="B1" t="s">
        <v>1328</v>
      </c>
      <c r="D1" s="1"/>
      <c r="E1" s="1"/>
      <c r="F1" s="1"/>
      <c r="G1" s="1"/>
      <c r="H1" s="1"/>
      <c r="I1" s="1"/>
      <c r="J1" s="1"/>
    </row>
    <row r="2" spans="1:10" ht="48.75" customHeight="1" thickBot="1" x14ac:dyDescent="0.3">
      <c r="A2">
        <v>1</v>
      </c>
      <c r="B2" t="str">
        <f>IFERROR(INDEX(tb_baza[[Гос. номер]:[График работ]],MATCH(Скрыто!A2,tb_zakazchik[Столбец2],0),1),"")</f>
        <v>В654ОН 178</v>
      </c>
      <c r="D2" s="35"/>
      <c r="E2" s="36" t="str">
        <f>IF(D2&lt;&gt;"",IFERROR(INDEX('База данных'!$A$2:$F$1061,MATCH(D2,'База данных'!$A$2:$A$1061,0),2),""),"")</f>
        <v/>
      </c>
      <c r="F2" s="36" t="str">
        <f>IF(D2&lt;&gt;"",IFERROR(INDEX('База данных'!$A$2:$F$1061,MATCH(D2,'База данных'!$A$2:$A$1061,0),3),""),"")</f>
        <v/>
      </c>
      <c r="G2" s="36" t="str">
        <f>IF(D2&lt;&gt;"",IFERROR(INDEX('База данных'!$A$2:$F$1061,MATCH(D2,'База данных'!$A$2:$A$1061,0),4),""),"")</f>
        <v/>
      </c>
      <c r="H2" s="36" t="str">
        <f>IF(D2&lt;&gt;"",IFERROR(INDEX('База данных'!$A$2:$F$1061,MATCH(D2,'База данных'!$A$2:$A$1061,0),5),""),"")</f>
        <v/>
      </c>
      <c r="I2" s="36" t="str">
        <f>IF(D2&lt;&gt;"",IFERROR(INDEX('База данных'!$A$2:$F$1061,MATCH(D2,'База данных'!$A$2:$A$1061,0),6),""),"")</f>
        <v/>
      </c>
      <c r="J2" s="1"/>
    </row>
    <row r="3" spans="1:10" x14ac:dyDescent="0.25">
      <c r="A3">
        <v>2</v>
      </c>
      <c r="B3" t="str">
        <f>IFERROR(INDEX(tb_baza[[Гос. номер]:[График работ]],MATCH(Скрыто!A3,tb_zakazchik[Столбец2],0),1),"")</f>
        <v/>
      </c>
    </row>
    <row r="4" spans="1:10" x14ac:dyDescent="0.25">
      <c r="A4">
        <v>3</v>
      </c>
      <c r="B4" t="str">
        <f>IFERROR(INDEX(tb_baza[[Гос. номер]:[График работ]],MATCH(Скрыто!A4,tb_zakazchik[Столбец2],0),1),"")</f>
        <v/>
      </c>
    </row>
    <row r="5" spans="1:10" x14ac:dyDescent="0.25">
      <c r="A5">
        <v>4</v>
      </c>
      <c r="B5" t="str">
        <f>IFERROR(INDEX(tb_baza[[Гос. номер]:[График работ]],MATCH(Скрыто!A5,tb_zakazchik[Столбец2],0),1),"")</f>
        <v/>
      </c>
    </row>
    <row r="6" spans="1:10" x14ac:dyDescent="0.25">
      <c r="A6">
        <v>5</v>
      </c>
      <c r="B6" t="str">
        <f>IFERROR(INDEX(tb_baza[[Гос. номер]:[График работ]],MATCH(Скрыто!A6,tb_zakazchik[Столбец2],0),1),"")</f>
        <v/>
      </c>
    </row>
    <row r="7" spans="1:10" x14ac:dyDescent="0.25">
      <c r="A7">
        <v>6</v>
      </c>
      <c r="B7" t="str">
        <f>IFERROR(INDEX(tb_baza[[Гос. номер]:[График работ]],MATCH(Скрыто!A7,tb_zakazchik[Столбец2],0),1),"")</f>
        <v/>
      </c>
    </row>
    <row r="8" spans="1:10" x14ac:dyDescent="0.25">
      <c r="A8">
        <v>7</v>
      </c>
      <c r="B8" t="str">
        <f>IFERROR(INDEX(tb_baza[[Гос. номер]:[График работ]],MATCH(Скрыто!A8,tb_zakazchik[Столбец2],0),1),"")</f>
        <v/>
      </c>
    </row>
    <row r="9" spans="1:10" x14ac:dyDescent="0.25">
      <c r="A9">
        <v>8</v>
      </c>
      <c r="B9" t="str">
        <f>IFERROR(INDEX(tb_baza[[Гос. номер]:[График работ]],MATCH(Скрыто!A9,tb_zakazchik[Столбец2],0),1),"")</f>
        <v/>
      </c>
    </row>
    <row r="10" spans="1:10" x14ac:dyDescent="0.25">
      <c r="A10">
        <v>9</v>
      </c>
      <c r="B10" t="str">
        <f>IFERROR(INDEX(tb_baza[[Гос. номер]:[График работ]],MATCH(Скрыто!A10,tb_zakazchik[Столбец2],0),1),"")</f>
        <v/>
      </c>
    </row>
    <row r="11" spans="1:10" x14ac:dyDescent="0.25">
      <c r="A11">
        <v>10</v>
      </c>
      <c r="B11" t="str">
        <f>IFERROR(INDEX(tb_baza[[Гос. номер]:[График работ]],MATCH(Скрыто!A11,tb_zakazchik[Столбец2],0),1),"")</f>
        <v/>
      </c>
    </row>
    <row r="12" spans="1:10" x14ac:dyDescent="0.25">
      <c r="A12">
        <v>11</v>
      </c>
      <c r="B12" t="str">
        <f>IFERROR(INDEX(tb_baza[[Гос. номер]:[График работ]],MATCH(Скрыто!A12,tb_zakazchik[Столбец2],0),1),"")</f>
        <v/>
      </c>
    </row>
    <row r="13" spans="1:10" x14ac:dyDescent="0.25">
      <c r="A13">
        <v>12</v>
      </c>
      <c r="B13" t="str">
        <f>IFERROR(INDEX(tb_baza[[Гос. номер]:[График работ]],MATCH(Скрыто!A13,tb_zakazchik[Столбец2],0),1),"")</f>
        <v/>
      </c>
    </row>
    <row r="14" spans="1:10" x14ac:dyDescent="0.25">
      <c r="A14">
        <v>13</v>
      </c>
      <c r="B14" t="str">
        <f>IFERROR(INDEX(tb_baza[[Гос. номер]:[График работ]],MATCH(Скрыто!A14,tb_zakazchik[Столбец2],0),1),"")</f>
        <v/>
      </c>
    </row>
    <row r="15" spans="1:10" x14ac:dyDescent="0.25">
      <c r="A15">
        <v>14</v>
      </c>
      <c r="B15" t="str">
        <f>IFERROR(INDEX(tb_baza[[Гос. номер]:[График работ]],MATCH(Скрыто!A15,tb_zakazchik[Столбец2],0),1),"")</f>
        <v/>
      </c>
    </row>
    <row r="16" spans="1:10" x14ac:dyDescent="0.25">
      <c r="A16">
        <v>15</v>
      </c>
      <c r="B16" t="str">
        <f>IFERROR(INDEX(tb_baza[[Гос. номер]:[График работ]],MATCH(Скрыто!A16,tb_zakazchik[Столбец2],0),1),"")</f>
        <v/>
      </c>
    </row>
    <row r="17" spans="1:2" x14ac:dyDescent="0.25">
      <c r="A17">
        <v>16</v>
      </c>
      <c r="B17" t="str">
        <f>IFERROR(INDEX(tb_baza[[Гос. номер]:[График работ]],MATCH(Скрыто!A17,tb_zakazchik[Столбец2],0),1),"")</f>
        <v/>
      </c>
    </row>
    <row r="18" spans="1:2" x14ac:dyDescent="0.25">
      <c r="A18">
        <v>17</v>
      </c>
      <c r="B18" t="str">
        <f>IFERROR(INDEX(tb_baza[[Гос. номер]:[График работ]],MATCH(Скрыто!A18,tb_zakazchik[Столбец2],0),1),"")</f>
        <v/>
      </c>
    </row>
    <row r="19" spans="1:2" x14ac:dyDescent="0.25">
      <c r="A19">
        <v>18</v>
      </c>
      <c r="B19" t="str">
        <f>IFERROR(INDEX(tb_baza[[Гос. номер]:[График работ]],MATCH(Скрыто!A19,tb_zakazchik[Столбец2],0),1),"")</f>
        <v/>
      </c>
    </row>
    <row r="20" spans="1:2" x14ac:dyDescent="0.25">
      <c r="A20">
        <v>19</v>
      </c>
      <c r="B20" t="str">
        <f>IFERROR(INDEX(tb_baza[[Гос. номер]:[График работ]],MATCH(Скрыто!A20,tb_zakazchik[Столбец2],0),1),"")</f>
        <v/>
      </c>
    </row>
    <row r="21" spans="1:2" x14ac:dyDescent="0.25">
      <c r="A21">
        <v>20</v>
      </c>
      <c r="B21" t="str">
        <f>IFERROR(INDEX(tb_baza[[Гос. номер]:[График работ]],MATCH(Скрыто!A21,tb_zakazchik[Столбец2],0),1),"")</f>
        <v/>
      </c>
    </row>
    <row r="22" spans="1:2" x14ac:dyDescent="0.25">
      <c r="A22">
        <v>21</v>
      </c>
      <c r="B22" t="str">
        <f>IFERROR(INDEX(tb_baza[[Гос. номер]:[График работ]],MATCH(Скрыто!A22,tb_zakazchik[Столбец2],0),1),"")</f>
        <v/>
      </c>
    </row>
    <row r="23" spans="1:2" x14ac:dyDescent="0.25">
      <c r="A23">
        <v>22</v>
      </c>
      <c r="B23" t="str">
        <f>IFERROR(INDEX(tb_baza[[Гос. номер]:[График работ]],MATCH(Скрыто!A23,tb_zakazchik[Столбец2],0),1),"")</f>
        <v/>
      </c>
    </row>
    <row r="24" spans="1:2" x14ac:dyDescent="0.25">
      <c r="A24">
        <v>23</v>
      </c>
      <c r="B24" t="str">
        <f>IFERROR(INDEX(tb_baza[[Гос. номер]:[График работ]],MATCH(Скрыто!A24,tb_zakazchik[Столбец2],0),1),"")</f>
        <v/>
      </c>
    </row>
    <row r="25" spans="1:2" x14ac:dyDescent="0.25">
      <c r="A25">
        <v>24</v>
      </c>
      <c r="B25" t="str">
        <f>IFERROR(INDEX(tb_baza[[Гос. номер]:[График работ]],MATCH(Скрыто!A25,tb_zakazchik[Столбец2],0),1),"")</f>
        <v/>
      </c>
    </row>
    <row r="26" spans="1:2" x14ac:dyDescent="0.25">
      <c r="A26">
        <v>25</v>
      </c>
      <c r="B26" t="str">
        <f>IFERROR(INDEX(tb_baza[[Гос. номер]:[График работ]],MATCH(Скрыто!A26,tb_zakazchik[Столбец2],0),1),"")</f>
        <v/>
      </c>
    </row>
    <row r="27" spans="1:2" x14ac:dyDescent="0.25">
      <c r="A27">
        <v>26</v>
      </c>
      <c r="B27" t="str">
        <f>IFERROR(INDEX(tb_baza[[Гос. номер]:[График работ]],MATCH(Скрыто!A27,tb_zakazchik[Столбец2],0),1),"")</f>
        <v/>
      </c>
    </row>
    <row r="28" spans="1:2" x14ac:dyDescent="0.25">
      <c r="A28">
        <v>27</v>
      </c>
      <c r="B28" t="str">
        <f>IFERROR(INDEX(tb_baza[[Гос. номер]:[График работ]],MATCH(Скрыто!A28,tb_zakazchik[Столбец2],0),1),"")</f>
        <v/>
      </c>
    </row>
    <row r="29" spans="1:2" x14ac:dyDescent="0.25">
      <c r="A29">
        <v>28</v>
      </c>
      <c r="B29" t="str">
        <f>IFERROR(INDEX(tb_baza[[Гос. номер]:[График работ]],MATCH(Скрыто!A29,tb_zakazchik[Столбец2],0),1),"")</f>
        <v/>
      </c>
    </row>
    <row r="30" spans="1:2" x14ac:dyDescent="0.25">
      <c r="A30">
        <v>29</v>
      </c>
      <c r="B30" t="str">
        <f>IFERROR(INDEX(tb_baza[[Гос. номер]:[График работ]],MATCH(Скрыто!A30,tb_zakazchik[Столбец2],0),1),"")</f>
        <v/>
      </c>
    </row>
    <row r="31" spans="1:2" x14ac:dyDescent="0.25">
      <c r="A31">
        <v>30</v>
      </c>
      <c r="B31" t="str">
        <f>IFERROR(INDEX(tb_baza[[Гос. номер]:[График работ]],MATCH(Скрыто!A31,tb_zakazchik[Столбец2],0),1),"")</f>
        <v/>
      </c>
    </row>
    <row r="32" spans="1:2" x14ac:dyDescent="0.25">
      <c r="A32">
        <v>31</v>
      </c>
      <c r="B32" t="str">
        <f>IFERROR(INDEX(tb_baza[[Гос. номер]:[График работ]],MATCH(Скрыто!A32,tb_zakazchik[Столбец2],0),1),"")</f>
        <v/>
      </c>
    </row>
    <row r="33" spans="1:2" x14ac:dyDescent="0.25">
      <c r="A33">
        <v>32</v>
      </c>
      <c r="B33" t="str">
        <f>IFERROR(INDEX(tb_baza[[Гос. номер]:[График работ]],MATCH(Скрыто!A33,tb_zakazchik[Столбец2],0),1),"")</f>
        <v/>
      </c>
    </row>
    <row r="34" spans="1:2" x14ac:dyDescent="0.25">
      <c r="A34">
        <v>33</v>
      </c>
      <c r="B34" t="str">
        <f>IFERROR(INDEX(tb_baza[[Гос. номер]:[График работ]],MATCH(Скрыто!A34,tb_zakazchik[Столбец2],0),1),"")</f>
        <v/>
      </c>
    </row>
    <row r="35" spans="1:2" x14ac:dyDescent="0.25">
      <c r="A35">
        <v>34</v>
      </c>
      <c r="B35" t="str">
        <f>IFERROR(INDEX(tb_baza[[Гос. номер]:[График работ]],MATCH(Скрыто!A35,tb_zakazchik[Столбец2],0),1),"")</f>
        <v/>
      </c>
    </row>
    <row r="36" spans="1:2" x14ac:dyDescent="0.25">
      <c r="A36">
        <v>35</v>
      </c>
      <c r="B36" t="str">
        <f>IFERROR(INDEX(tb_baza[[Гос. номер]:[График работ]],MATCH(Скрыто!A36,tb_zakazchik[Столбец2],0),1),"")</f>
        <v/>
      </c>
    </row>
    <row r="37" spans="1:2" x14ac:dyDescent="0.25">
      <c r="A37">
        <v>36</v>
      </c>
      <c r="B37" t="str">
        <f>IFERROR(INDEX(tb_baza[[Гос. номер]:[График работ]],MATCH(Скрыто!A37,tb_zakazchik[Столбец2],0),1),"")</f>
        <v/>
      </c>
    </row>
    <row r="38" spans="1:2" x14ac:dyDescent="0.25">
      <c r="A38">
        <v>37</v>
      </c>
      <c r="B38" t="str">
        <f>IFERROR(INDEX(tb_baza[[Гос. номер]:[График работ]],MATCH(Скрыто!A38,tb_zakazchik[Столбец2],0),1),"")</f>
        <v/>
      </c>
    </row>
    <row r="39" spans="1:2" x14ac:dyDescent="0.25">
      <c r="A39">
        <v>38</v>
      </c>
      <c r="B39" t="str">
        <f>IFERROR(INDEX(tb_baza[[Гос. номер]:[График работ]],MATCH(Скрыто!A39,tb_zakazchik[Столбец2],0),1),"")</f>
        <v/>
      </c>
    </row>
    <row r="40" spans="1:2" x14ac:dyDescent="0.25">
      <c r="A40">
        <v>39</v>
      </c>
      <c r="B40" t="str">
        <f>IFERROR(INDEX(tb_baza[[Гос. номер]:[График работ]],MATCH(Скрыто!A40,tb_zakazchik[Столбец2],0),1),"")</f>
        <v/>
      </c>
    </row>
    <row r="41" spans="1:2" x14ac:dyDescent="0.25">
      <c r="A41">
        <v>40</v>
      </c>
      <c r="B41" t="str">
        <f>IFERROR(INDEX(tb_baza[[Гос. номер]:[График работ]],MATCH(Скрыто!A41,tb_zakazchik[Столбец2],0),1),"")</f>
        <v/>
      </c>
    </row>
    <row r="42" spans="1:2" x14ac:dyDescent="0.25">
      <c r="A42">
        <v>41</v>
      </c>
      <c r="B42" t="str">
        <f>IFERROR(INDEX(tb_baza[[Гос. номер]:[График работ]],MATCH(Скрыто!A42,tb_zakazchik[Столбец2],0),1),"")</f>
        <v/>
      </c>
    </row>
    <row r="43" spans="1:2" x14ac:dyDescent="0.25">
      <c r="A43">
        <v>42</v>
      </c>
      <c r="B43" t="str">
        <f>IFERROR(INDEX(tb_baza[[Гос. номер]:[График работ]],MATCH(Скрыто!A43,tb_zakazchik[Столбец2],0),1),"")</f>
        <v/>
      </c>
    </row>
    <row r="44" spans="1:2" x14ac:dyDescent="0.25">
      <c r="A44">
        <v>43</v>
      </c>
      <c r="B44" t="str">
        <f>IFERROR(INDEX(tb_baza[[Гос. номер]:[График работ]],MATCH(Скрыто!A44,tb_zakazchik[Столбец2],0),1),"")</f>
        <v/>
      </c>
    </row>
    <row r="45" spans="1:2" x14ac:dyDescent="0.25">
      <c r="A45">
        <v>44</v>
      </c>
      <c r="B45" t="str">
        <f>IFERROR(INDEX(tb_baza[[Гос. номер]:[График работ]],MATCH(Скрыто!A45,tb_zakazchik[Столбец2],0),1),"")</f>
        <v/>
      </c>
    </row>
    <row r="46" spans="1:2" x14ac:dyDescent="0.25">
      <c r="A46">
        <v>45</v>
      </c>
      <c r="B46" t="str">
        <f>IFERROR(INDEX(tb_baza[[Гос. номер]:[График работ]],MATCH(Скрыто!A46,tb_zakazchik[Столбец2],0),1),"")</f>
        <v/>
      </c>
    </row>
    <row r="47" spans="1:2" x14ac:dyDescent="0.25">
      <c r="A47">
        <v>46</v>
      </c>
      <c r="B47" t="str">
        <f>IFERROR(INDEX(tb_baza[[Гос. номер]:[График работ]],MATCH(Скрыто!A47,tb_zakazchik[Столбец2],0),1),"")</f>
        <v/>
      </c>
    </row>
    <row r="48" spans="1:2" x14ac:dyDescent="0.25">
      <c r="A48">
        <v>47</v>
      </c>
      <c r="B48" t="str">
        <f>IFERROR(INDEX(tb_baza[[Гос. номер]:[График работ]],MATCH(Скрыто!A48,tb_zakazchik[Столбец2],0),1),"")</f>
        <v/>
      </c>
    </row>
    <row r="49" spans="1:2" x14ac:dyDescent="0.25">
      <c r="A49">
        <v>48</v>
      </c>
      <c r="B49" t="str">
        <f>IFERROR(INDEX(tb_baza[[Гос. номер]:[График работ]],MATCH(Скрыто!A49,tb_zakazchik[Столбец2],0),1),"")</f>
        <v/>
      </c>
    </row>
    <row r="50" spans="1:2" x14ac:dyDescent="0.25">
      <c r="A50">
        <v>49</v>
      </c>
      <c r="B50" t="str">
        <f>IFERROR(INDEX(tb_baza[[Гос. номер]:[График работ]],MATCH(Скрыто!A50,tb_zakazchik[Столбец2],0),1),"")</f>
        <v/>
      </c>
    </row>
    <row r="51" spans="1:2" x14ac:dyDescent="0.25">
      <c r="A51">
        <v>50</v>
      </c>
      <c r="B51" t="str">
        <f>IFERROR(INDEX(tb_baza[[Гос. номер]:[График работ]],MATCH(Скрыто!A51,tb_zakazchik[Столбец2],0),1),"")</f>
        <v/>
      </c>
    </row>
    <row r="52" spans="1:2" x14ac:dyDescent="0.25">
      <c r="A52">
        <v>51</v>
      </c>
      <c r="B52" t="str">
        <f>IFERROR(INDEX(tb_baza[[Гос. номер]:[График работ]],MATCH(Скрыто!A52,tb_zakazchik[Столбец2],0),1),"")</f>
        <v/>
      </c>
    </row>
    <row r="53" spans="1:2" x14ac:dyDescent="0.25">
      <c r="A53">
        <v>52</v>
      </c>
      <c r="B53" t="str">
        <f>IFERROR(INDEX(tb_baza[[Гос. номер]:[График работ]],MATCH(Скрыто!A53,tb_zakazchik[Столбец2],0),1),"")</f>
        <v/>
      </c>
    </row>
    <row r="54" spans="1:2" x14ac:dyDescent="0.25">
      <c r="A54">
        <v>53</v>
      </c>
      <c r="B54" t="str">
        <f>IFERROR(INDEX(tb_baza[[Гос. номер]:[График работ]],MATCH(Скрыто!A54,tb_zakazchik[Столбец2],0),1),"")</f>
        <v/>
      </c>
    </row>
    <row r="55" spans="1:2" x14ac:dyDescent="0.25">
      <c r="A55">
        <v>54</v>
      </c>
      <c r="B55" t="str">
        <f>IFERROR(INDEX(tb_baza[[Гос. номер]:[График работ]],MATCH(Скрыто!A55,tb_zakazchik[Столбец2],0),1),"")</f>
        <v/>
      </c>
    </row>
    <row r="56" spans="1:2" x14ac:dyDescent="0.25">
      <c r="A56">
        <v>55</v>
      </c>
      <c r="B56" t="str">
        <f>IFERROR(INDEX(tb_baza[[Гос. номер]:[График работ]],MATCH(Скрыто!A56,tb_zakazchik[Столбец2],0),1),"")</f>
        <v/>
      </c>
    </row>
    <row r="57" spans="1:2" x14ac:dyDescent="0.25">
      <c r="A57">
        <v>56</v>
      </c>
      <c r="B57" t="str">
        <f>IFERROR(INDEX(tb_baza[[Гос. номер]:[График работ]],MATCH(Скрыто!A57,tb_zakazchik[Столбец2],0),1),"")</f>
        <v/>
      </c>
    </row>
    <row r="58" spans="1:2" x14ac:dyDescent="0.25">
      <c r="A58">
        <v>57</v>
      </c>
      <c r="B58" t="str">
        <f>IFERROR(INDEX(tb_baza[[Гос. номер]:[График работ]],MATCH(Скрыто!A58,tb_zakazchik[Столбец2],0),1),"")</f>
        <v/>
      </c>
    </row>
    <row r="59" spans="1:2" x14ac:dyDescent="0.25">
      <c r="A59">
        <v>58</v>
      </c>
      <c r="B59" t="str">
        <f>IFERROR(INDEX(tb_baza[[Гос. номер]:[График работ]],MATCH(Скрыто!A59,tb_zakazchik[Столбец2],0),1),"")</f>
        <v/>
      </c>
    </row>
    <row r="60" spans="1:2" x14ac:dyDescent="0.25">
      <c r="A60">
        <v>59</v>
      </c>
      <c r="B60" t="str">
        <f>IFERROR(INDEX(tb_baza[[Гос. номер]:[График работ]],MATCH(Скрыто!A60,tb_zakazchik[Столбец2],0),1),"")</f>
        <v/>
      </c>
    </row>
    <row r="61" spans="1:2" x14ac:dyDescent="0.25">
      <c r="A61">
        <v>60</v>
      </c>
      <c r="B61" t="str">
        <f>IFERROR(INDEX(tb_baza[[Гос. номер]:[График работ]],MATCH(Скрыто!A61,tb_zakazchik[Столбец2],0),1),"")</f>
        <v/>
      </c>
    </row>
    <row r="62" spans="1:2" x14ac:dyDescent="0.25">
      <c r="A62">
        <v>61</v>
      </c>
      <c r="B62" t="str">
        <f>IFERROR(INDEX(tb_baza[[Гос. номер]:[График работ]],MATCH(Скрыто!A62,tb_zakazchik[Столбец2],0),1),"")</f>
        <v/>
      </c>
    </row>
    <row r="63" spans="1:2" x14ac:dyDescent="0.25">
      <c r="A63">
        <v>62</v>
      </c>
      <c r="B63" t="str">
        <f>IFERROR(INDEX(tb_baza[[Гос. номер]:[График работ]],MATCH(Скрыто!A63,tb_zakazchik[Столбец2],0),1),"")</f>
        <v/>
      </c>
    </row>
    <row r="64" spans="1:2" x14ac:dyDescent="0.25">
      <c r="A64">
        <v>63</v>
      </c>
      <c r="B64" t="str">
        <f>IFERROR(INDEX(tb_baza[[Гос. номер]:[График работ]],MATCH(Скрыто!A64,tb_zakazchik[Столбец2],0),1),"")</f>
        <v/>
      </c>
    </row>
    <row r="65" spans="1:2" x14ac:dyDescent="0.25">
      <c r="A65">
        <v>64</v>
      </c>
      <c r="B65" t="str">
        <f>IFERROR(INDEX(tb_baza[[Гос. номер]:[График работ]],MATCH(Скрыто!A65,tb_zakazchik[Столбец2],0),1),"")</f>
        <v/>
      </c>
    </row>
    <row r="66" spans="1:2" x14ac:dyDescent="0.25">
      <c r="A66">
        <v>65</v>
      </c>
      <c r="B66" t="str">
        <f>IFERROR(INDEX(tb_baza[[Гос. номер]:[График работ]],MATCH(Скрыто!A66,tb_zakazchik[Столбец2],0),1),"")</f>
        <v/>
      </c>
    </row>
    <row r="67" spans="1:2" x14ac:dyDescent="0.25">
      <c r="A67">
        <v>66</v>
      </c>
      <c r="B67" t="str">
        <f>IFERROR(INDEX(tb_baza[[Гос. номер]:[График работ]],MATCH(Скрыто!A67,tb_zakazchik[Столбец2],0),1),"")</f>
        <v/>
      </c>
    </row>
    <row r="68" spans="1:2" x14ac:dyDescent="0.25">
      <c r="A68">
        <v>67</v>
      </c>
      <c r="B68" t="str">
        <f>IFERROR(INDEX(tb_baza[[Гос. номер]:[График работ]],MATCH(Скрыто!A68,tb_zakazchik[Столбец2],0),1),"")</f>
        <v/>
      </c>
    </row>
    <row r="69" spans="1:2" x14ac:dyDescent="0.25">
      <c r="A69">
        <v>68</v>
      </c>
      <c r="B69" t="str">
        <f>IFERROR(INDEX(tb_baza[[Гос. номер]:[График работ]],MATCH(Скрыто!A69,tb_zakazchik[Столбец2],0),1),"")</f>
        <v/>
      </c>
    </row>
    <row r="70" spans="1:2" x14ac:dyDescent="0.25">
      <c r="A70">
        <v>69</v>
      </c>
      <c r="B70" t="str">
        <f>IFERROR(INDEX(tb_baza[[Гос. номер]:[График работ]],MATCH(Скрыто!A70,tb_zakazchik[Столбец2],0),1),"")</f>
        <v/>
      </c>
    </row>
    <row r="71" spans="1:2" x14ac:dyDescent="0.25">
      <c r="A71">
        <v>70</v>
      </c>
      <c r="B71" t="str">
        <f>IFERROR(INDEX(tb_baza[[Гос. номер]:[График работ]],MATCH(Скрыто!A71,tb_zakazchik[Столбец2],0),1),"")</f>
        <v/>
      </c>
    </row>
    <row r="72" spans="1:2" x14ac:dyDescent="0.25">
      <c r="A72">
        <v>71</v>
      </c>
      <c r="B72" t="str">
        <f>IFERROR(INDEX(tb_baza[[Гос. номер]:[График работ]],MATCH(Скрыто!A72,tb_zakazchik[Столбец2],0),1),"")</f>
        <v/>
      </c>
    </row>
    <row r="73" spans="1:2" x14ac:dyDescent="0.25">
      <c r="A73">
        <v>72</v>
      </c>
      <c r="B73" t="str">
        <f>IFERROR(INDEX(tb_baza[[Гос. номер]:[График работ]],MATCH(Скрыто!A73,tb_zakazchik[Столбец2],0),1),"")</f>
        <v/>
      </c>
    </row>
    <row r="74" spans="1:2" x14ac:dyDescent="0.25">
      <c r="A74">
        <v>73</v>
      </c>
      <c r="B74" t="str">
        <f>IFERROR(INDEX(tb_baza[[Гос. номер]:[График работ]],MATCH(Скрыто!A74,tb_zakazchik[Столбец2],0),1),"")</f>
        <v/>
      </c>
    </row>
    <row r="75" spans="1:2" x14ac:dyDescent="0.25">
      <c r="A75">
        <v>74</v>
      </c>
      <c r="B75" t="str">
        <f>IFERROR(INDEX(tb_baza[[Гос. номер]:[График работ]],MATCH(Скрыто!A75,tb_zakazchik[Столбец2],0),1),"")</f>
        <v/>
      </c>
    </row>
    <row r="76" spans="1:2" x14ac:dyDescent="0.25">
      <c r="A76">
        <v>75</v>
      </c>
      <c r="B76" t="str">
        <f>IFERROR(INDEX(tb_baza[[Гос. номер]:[График работ]],MATCH(Скрыто!A76,tb_zakazchik[Столбец2],0),1),"")</f>
        <v/>
      </c>
    </row>
    <row r="77" spans="1:2" x14ac:dyDescent="0.25">
      <c r="A77">
        <v>76</v>
      </c>
      <c r="B77" t="str">
        <f>IFERROR(INDEX(tb_baza[[Гос. номер]:[График работ]],MATCH(Скрыто!A77,tb_zakazchik[Столбец2],0),1),"")</f>
        <v/>
      </c>
    </row>
    <row r="78" spans="1:2" x14ac:dyDescent="0.25">
      <c r="A78">
        <v>77</v>
      </c>
      <c r="B78" t="str">
        <f>IFERROR(INDEX(tb_baza[[Гос. номер]:[График работ]],MATCH(Скрыто!A78,tb_zakazchik[Столбец2],0),1),"")</f>
        <v/>
      </c>
    </row>
    <row r="79" spans="1:2" x14ac:dyDescent="0.25">
      <c r="A79">
        <v>78</v>
      </c>
      <c r="B79" t="str">
        <f>IFERROR(INDEX(tb_baza[[Гос. номер]:[График работ]],MATCH(Скрыто!A79,tb_zakazchik[Столбец2],0),1),"")</f>
        <v/>
      </c>
    </row>
    <row r="80" spans="1:2" x14ac:dyDescent="0.25">
      <c r="A80">
        <v>79</v>
      </c>
      <c r="B80" t="str">
        <f>IFERROR(INDEX(tb_baza[[Гос. номер]:[График работ]],MATCH(Скрыто!A80,tb_zakazchik[Столбец2],0),1),"")</f>
        <v/>
      </c>
    </row>
    <row r="81" spans="1:2" x14ac:dyDescent="0.25">
      <c r="A81">
        <v>80</v>
      </c>
      <c r="B81" t="str">
        <f>IFERROR(INDEX(tb_baza[[Гос. номер]:[График работ]],MATCH(Скрыто!A81,tb_zakazchik[Столбец2],0),1),"")</f>
        <v/>
      </c>
    </row>
    <row r="82" spans="1:2" x14ac:dyDescent="0.25">
      <c r="A82">
        <v>81</v>
      </c>
      <c r="B82" t="str">
        <f>IFERROR(INDEX(tb_baza[[Гос. номер]:[График работ]],MATCH(Скрыто!A82,tb_zakazchik[Столбец2],0),1),"")</f>
        <v/>
      </c>
    </row>
    <row r="83" spans="1:2" x14ac:dyDescent="0.25">
      <c r="A83">
        <v>82</v>
      </c>
      <c r="B83" t="str">
        <f>IFERROR(INDEX(tb_baza[[Гос. номер]:[График работ]],MATCH(Скрыто!A83,tb_zakazchik[Столбец2],0),1),"")</f>
        <v/>
      </c>
    </row>
    <row r="84" spans="1:2" x14ac:dyDescent="0.25">
      <c r="A84">
        <v>83</v>
      </c>
      <c r="B84" t="str">
        <f>IFERROR(INDEX(tb_baza[[Гос. номер]:[График работ]],MATCH(Скрыто!A84,tb_zakazchik[Столбец2],0),1),"")</f>
        <v/>
      </c>
    </row>
    <row r="85" spans="1:2" x14ac:dyDescent="0.25">
      <c r="A85">
        <v>84</v>
      </c>
      <c r="B85" t="str">
        <f>IFERROR(INDEX(tb_baza[[Гос. номер]:[График работ]],MATCH(Скрыто!A85,tb_zakazchik[Столбец2],0),1),"")</f>
        <v/>
      </c>
    </row>
    <row r="86" spans="1:2" x14ac:dyDescent="0.25">
      <c r="A86">
        <v>85</v>
      </c>
      <c r="B86" t="str">
        <f>IFERROR(INDEX(tb_baza[[Гос. номер]:[График работ]],MATCH(Скрыто!A86,tb_zakazchik[Столбец2],0),1),"")</f>
        <v/>
      </c>
    </row>
    <row r="87" spans="1:2" x14ac:dyDescent="0.25">
      <c r="A87">
        <v>86</v>
      </c>
      <c r="B87" t="str">
        <f>IFERROR(INDEX(tb_baza[[Гос. номер]:[График работ]],MATCH(Скрыто!A87,tb_zakazchik[Столбец2],0),1),"")</f>
        <v/>
      </c>
    </row>
    <row r="88" spans="1:2" x14ac:dyDescent="0.25">
      <c r="A88">
        <v>87</v>
      </c>
      <c r="B88" t="str">
        <f>IFERROR(INDEX(tb_baza[[Гос. номер]:[График работ]],MATCH(Скрыто!A88,tb_zakazchik[Столбец2],0),1),"")</f>
        <v/>
      </c>
    </row>
    <row r="89" spans="1:2" x14ac:dyDescent="0.25">
      <c r="A89">
        <v>88</v>
      </c>
      <c r="B89" t="str">
        <f>IFERROR(INDEX(tb_baza[[Гос. номер]:[График работ]],MATCH(Скрыто!A89,tb_zakazchik[Столбец2],0),1),"")</f>
        <v/>
      </c>
    </row>
    <row r="90" spans="1:2" x14ac:dyDescent="0.25">
      <c r="A90">
        <v>89</v>
      </c>
      <c r="B90" t="str">
        <f>IFERROR(INDEX(tb_baza[[Гос. номер]:[График работ]],MATCH(Скрыто!A90,tb_zakazchik[Столбец2],0),1),"")</f>
        <v/>
      </c>
    </row>
    <row r="91" spans="1:2" x14ac:dyDescent="0.25">
      <c r="A91">
        <v>90</v>
      </c>
      <c r="B91" t="str">
        <f>IFERROR(INDEX(tb_baza[[Гос. номер]:[График работ]],MATCH(Скрыто!A91,tb_zakazchik[Столбец2],0),1),"")</f>
        <v/>
      </c>
    </row>
    <row r="92" spans="1:2" x14ac:dyDescent="0.25">
      <c r="A92">
        <v>91</v>
      </c>
      <c r="B92" t="str">
        <f>IFERROR(INDEX(tb_baza[[Гос. номер]:[График работ]],MATCH(Скрыто!A92,tb_zakazchik[Столбец2],0),1),"")</f>
        <v/>
      </c>
    </row>
    <row r="93" spans="1:2" x14ac:dyDescent="0.25">
      <c r="A93">
        <v>92</v>
      </c>
      <c r="B93" t="str">
        <f>IFERROR(INDEX(tb_baza[[Гос. номер]:[График работ]],MATCH(Скрыто!A93,tb_zakazchik[Столбец2],0),1),"")</f>
        <v/>
      </c>
    </row>
    <row r="94" spans="1:2" x14ac:dyDescent="0.25">
      <c r="A94">
        <v>93</v>
      </c>
      <c r="B94" t="str">
        <f>IFERROR(INDEX(tb_baza[[Гос. номер]:[График работ]],MATCH(Скрыто!A94,tb_zakazchik[Столбец2],0),1),"")</f>
        <v/>
      </c>
    </row>
    <row r="95" spans="1:2" x14ac:dyDescent="0.25">
      <c r="A95">
        <v>94</v>
      </c>
      <c r="B95" t="str">
        <f>IFERROR(INDEX(tb_baza[[Гос. номер]:[График работ]],MATCH(Скрыто!A95,tb_zakazchik[Столбец2],0),1),"")</f>
        <v/>
      </c>
    </row>
    <row r="96" spans="1:2" x14ac:dyDescent="0.25">
      <c r="A96">
        <v>95</v>
      </c>
      <c r="B96" t="str">
        <f>IFERROR(INDEX(tb_baza[[Гос. номер]:[График работ]],MATCH(Скрыто!A96,tb_zakazchik[Столбец2],0),1),"")</f>
        <v/>
      </c>
    </row>
    <row r="97" spans="1:2" x14ac:dyDescent="0.25">
      <c r="A97">
        <v>96</v>
      </c>
      <c r="B97" t="str">
        <f>IFERROR(INDEX(tb_baza[[Гос. номер]:[График работ]],MATCH(Скрыто!A97,tb_zakazchik[Столбец2],0),1),"")</f>
        <v/>
      </c>
    </row>
    <row r="98" spans="1:2" x14ac:dyDescent="0.25">
      <c r="A98">
        <v>97</v>
      </c>
      <c r="B98" t="str">
        <f>IFERROR(INDEX(tb_baza[[Гос. номер]:[График работ]],MATCH(Скрыто!A98,tb_zakazchik[Столбец2],0),1),"")</f>
        <v/>
      </c>
    </row>
    <row r="99" spans="1:2" x14ac:dyDescent="0.25">
      <c r="A99">
        <v>98</v>
      </c>
      <c r="B99" t="str">
        <f>IFERROR(INDEX(tb_baza[[Гос. номер]:[График работ]],MATCH(Скрыто!A99,tb_zakazchik[Столбец2],0),1),"")</f>
        <v/>
      </c>
    </row>
    <row r="100" spans="1:2" x14ac:dyDescent="0.25">
      <c r="A100">
        <v>99</v>
      </c>
      <c r="B100" t="str">
        <f>IFERROR(INDEX(tb_baza[[Гос. номер]:[График работ]],MATCH(Скрыто!A100,tb_zakazchik[Столбец2],0),1),"")</f>
        <v/>
      </c>
    </row>
    <row r="101" spans="1:2" x14ac:dyDescent="0.25">
      <c r="A101">
        <v>100</v>
      </c>
      <c r="B101" t="str">
        <f>IFERROR(INDEX(tb_baza[[Гос. номер]:[График работ]],MATCH(Скрыто!A101,tb_zakazchik[Столбец2],0),1),"")</f>
        <v/>
      </c>
    </row>
    <row r="102" spans="1:2" x14ac:dyDescent="0.25">
      <c r="A102">
        <v>101</v>
      </c>
      <c r="B102" t="str">
        <f>IFERROR(INDEX(tb_baza[[Гос. номер]:[График работ]],MATCH(Скрыто!A102,tb_zakazchik[Столбец2],0),1),"")</f>
        <v/>
      </c>
    </row>
    <row r="103" spans="1:2" x14ac:dyDescent="0.25">
      <c r="A103">
        <v>102</v>
      </c>
      <c r="B103" t="str">
        <f>IFERROR(INDEX(tb_baza[[Гос. номер]:[График работ]],MATCH(Скрыто!A103,tb_zakazchik[Столбец2],0),1),"")</f>
        <v/>
      </c>
    </row>
    <row r="104" spans="1:2" x14ac:dyDescent="0.25">
      <c r="A104">
        <v>103</v>
      </c>
      <c r="B104" t="str">
        <f>IFERROR(INDEX(tb_baza[[Гос. номер]:[График работ]],MATCH(Скрыто!A104,tb_zakazchik[Столбец2],0),1),"")</f>
        <v/>
      </c>
    </row>
    <row r="105" spans="1:2" x14ac:dyDescent="0.25">
      <c r="A105">
        <v>104</v>
      </c>
      <c r="B105" t="str">
        <f>IFERROR(INDEX(tb_baza[[Гос. номер]:[График работ]],MATCH(Скрыто!A105,tb_zakazchik[Столбец2],0),1),"")</f>
        <v/>
      </c>
    </row>
    <row r="106" spans="1:2" x14ac:dyDescent="0.25">
      <c r="A106">
        <v>105</v>
      </c>
      <c r="B106" t="str">
        <f>IFERROR(INDEX(tb_baza[[Гос. номер]:[График работ]],MATCH(Скрыто!A106,tb_zakazchik[Столбец2],0),1),"")</f>
        <v/>
      </c>
    </row>
    <row r="107" spans="1:2" x14ac:dyDescent="0.25">
      <c r="A107">
        <v>106</v>
      </c>
      <c r="B107" t="str">
        <f>IFERROR(INDEX(tb_baza[[Гос. номер]:[График работ]],MATCH(Скрыто!A107,tb_zakazchik[Столбец2],0),1),"")</f>
        <v/>
      </c>
    </row>
    <row r="108" spans="1:2" x14ac:dyDescent="0.25">
      <c r="A108">
        <v>107</v>
      </c>
      <c r="B108" t="str">
        <f>IFERROR(INDEX(tb_baza[[Гос. номер]:[График работ]],MATCH(Скрыто!A108,tb_zakazchik[Столбец2],0),1),"")</f>
        <v/>
      </c>
    </row>
    <row r="109" spans="1:2" x14ac:dyDescent="0.25">
      <c r="A109">
        <v>108</v>
      </c>
      <c r="B109" t="str">
        <f>IFERROR(INDEX(tb_baza[[Гос. номер]:[График работ]],MATCH(Скрыто!A109,tb_zakazchik[Столбец2],0),1),"")</f>
        <v/>
      </c>
    </row>
    <row r="110" spans="1:2" x14ac:dyDescent="0.25">
      <c r="A110">
        <v>109</v>
      </c>
      <c r="B110" t="str">
        <f>IFERROR(INDEX(tb_baza[[Гос. номер]:[График работ]],MATCH(Скрыто!A110,tb_zakazchik[Столбец2],0),1),"")</f>
        <v/>
      </c>
    </row>
    <row r="111" spans="1:2" x14ac:dyDescent="0.25">
      <c r="A111">
        <v>110</v>
      </c>
      <c r="B111" t="str">
        <f>IFERROR(INDEX(tb_baza[[Гос. номер]:[График работ]],MATCH(Скрыто!A111,tb_zakazchik[Столбец2],0),1),"")</f>
        <v/>
      </c>
    </row>
    <row r="112" spans="1:2" x14ac:dyDescent="0.25">
      <c r="A112">
        <v>111</v>
      </c>
      <c r="B112" t="str">
        <f>IFERROR(INDEX(tb_baza[[Гос. номер]:[График работ]],MATCH(Скрыто!A112,tb_zakazchik[Столбец2],0),1),"")</f>
        <v/>
      </c>
    </row>
    <row r="113" spans="1:2" x14ac:dyDescent="0.25">
      <c r="A113">
        <v>112</v>
      </c>
      <c r="B113" t="str">
        <f>IFERROR(INDEX(tb_baza[[Гос. номер]:[График работ]],MATCH(Скрыто!A113,tb_zakazchik[Столбец2],0),1),"")</f>
        <v/>
      </c>
    </row>
    <row r="114" spans="1:2" x14ac:dyDescent="0.25">
      <c r="A114">
        <v>113</v>
      </c>
      <c r="B114" t="str">
        <f>IFERROR(INDEX(tb_baza[[Гос. номер]:[График работ]],MATCH(Скрыто!A114,tb_zakazchik[Столбец2],0),1),"")</f>
        <v/>
      </c>
    </row>
    <row r="115" spans="1:2" x14ac:dyDescent="0.25">
      <c r="A115">
        <v>114</v>
      </c>
      <c r="B115" t="str">
        <f>IFERROR(INDEX(tb_baza[[Гос. номер]:[График работ]],MATCH(Скрыто!A115,tb_zakazchik[Столбец2],0),1),"")</f>
        <v/>
      </c>
    </row>
    <row r="116" spans="1:2" x14ac:dyDescent="0.25">
      <c r="A116">
        <v>115</v>
      </c>
      <c r="B116" t="str">
        <f>IFERROR(INDEX(tb_baza[[Гос. номер]:[График работ]],MATCH(Скрыто!A116,tb_zakazchik[Столбец2],0),1),"")</f>
        <v/>
      </c>
    </row>
    <row r="117" spans="1:2" x14ac:dyDescent="0.25">
      <c r="A117">
        <v>116</v>
      </c>
      <c r="B117" t="str">
        <f>IFERROR(INDEX(tb_baza[[Гос. номер]:[График работ]],MATCH(Скрыто!A117,tb_zakazchik[Столбец2],0),1),"")</f>
        <v/>
      </c>
    </row>
    <row r="118" spans="1:2" x14ac:dyDescent="0.25">
      <c r="A118">
        <v>117</v>
      </c>
      <c r="B118" t="str">
        <f>IFERROR(INDEX(tb_baza[[Гос. номер]:[График работ]],MATCH(Скрыто!A118,tb_zakazchik[Столбец2],0),1),"")</f>
        <v/>
      </c>
    </row>
    <row r="119" spans="1:2" x14ac:dyDescent="0.25">
      <c r="A119">
        <v>118</v>
      </c>
      <c r="B119" t="str">
        <f>IFERROR(INDEX(tb_baza[[Гос. номер]:[График работ]],MATCH(Скрыто!A119,tb_zakazchik[Столбец2],0),1),"")</f>
        <v/>
      </c>
    </row>
    <row r="120" spans="1:2" x14ac:dyDescent="0.25">
      <c r="A120">
        <v>119</v>
      </c>
      <c r="B120" t="str">
        <f>IFERROR(INDEX(tb_baza[[Гос. номер]:[График работ]],MATCH(Скрыто!A120,tb_zakazchik[Столбец2],0),1),"")</f>
        <v/>
      </c>
    </row>
    <row r="121" spans="1:2" x14ac:dyDescent="0.25">
      <c r="A121">
        <v>120</v>
      </c>
      <c r="B121" t="str">
        <f>IFERROR(INDEX(tb_baza[[Гос. номер]:[График работ]],MATCH(Скрыто!A121,tb_zakazchik[Столбец2],0),1),"")</f>
        <v/>
      </c>
    </row>
    <row r="122" spans="1:2" x14ac:dyDescent="0.25">
      <c r="A122">
        <v>121</v>
      </c>
      <c r="B122" t="str">
        <f>IFERROR(INDEX(tb_baza[[Гос. номер]:[График работ]],MATCH(Скрыто!A122,tb_zakazchik[Столбец2],0),1),"")</f>
        <v/>
      </c>
    </row>
    <row r="123" spans="1:2" x14ac:dyDescent="0.25">
      <c r="A123">
        <v>122</v>
      </c>
      <c r="B123" t="str">
        <f>IFERROR(INDEX(tb_baza[[Гос. номер]:[График работ]],MATCH(Скрыто!A123,tb_zakazchik[Столбец2],0),1),"")</f>
        <v/>
      </c>
    </row>
    <row r="124" spans="1:2" x14ac:dyDescent="0.25">
      <c r="A124">
        <v>123</v>
      </c>
      <c r="B124" t="str">
        <f>IFERROR(INDEX(tb_baza[[Гос. номер]:[График работ]],MATCH(Скрыто!A124,tb_zakazchik[Столбец2],0),1),"")</f>
        <v/>
      </c>
    </row>
    <row r="125" spans="1:2" x14ac:dyDescent="0.25">
      <c r="A125">
        <v>124</v>
      </c>
      <c r="B125" t="str">
        <f>IFERROR(INDEX(tb_baza[[Гос. номер]:[График работ]],MATCH(Скрыто!A125,tb_zakazchik[Столбец2],0),1),"")</f>
        <v/>
      </c>
    </row>
    <row r="126" spans="1:2" x14ac:dyDescent="0.25">
      <c r="A126">
        <v>125</v>
      </c>
      <c r="B126" t="str">
        <f>IFERROR(INDEX(tb_baza[[Гос. номер]:[График работ]],MATCH(Скрыто!A126,tb_zakazchik[Столбец2],0),1),"")</f>
        <v/>
      </c>
    </row>
    <row r="127" spans="1:2" x14ac:dyDescent="0.25">
      <c r="A127">
        <v>126</v>
      </c>
      <c r="B127" t="str">
        <f>IFERROR(INDEX(tb_baza[[Гос. номер]:[График работ]],MATCH(Скрыто!A127,tb_zakazchik[Столбец2],0),1),"")</f>
        <v/>
      </c>
    </row>
    <row r="128" spans="1:2" x14ac:dyDescent="0.25">
      <c r="A128">
        <v>127</v>
      </c>
      <c r="B128" t="str">
        <f>IFERROR(INDEX(tb_baza[[Гос. номер]:[График работ]],MATCH(Скрыто!A128,tb_zakazchik[Столбец2],0),1),"")</f>
        <v/>
      </c>
    </row>
    <row r="129" spans="1:2" x14ac:dyDescent="0.25">
      <c r="A129">
        <v>128</v>
      </c>
      <c r="B129" t="str">
        <f>IFERROR(INDEX(tb_baza[[Гос. номер]:[График работ]],MATCH(Скрыто!A129,tb_zakazchik[Столбец2],0),1),"")</f>
        <v/>
      </c>
    </row>
    <row r="130" spans="1:2" x14ac:dyDescent="0.25">
      <c r="A130">
        <v>129</v>
      </c>
      <c r="B130" t="str">
        <f>IFERROR(INDEX(tb_baza[[Гос. номер]:[График работ]],MATCH(Скрыто!A130,tb_zakazchik[Столбец2],0),1),"")</f>
        <v/>
      </c>
    </row>
    <row r="131" spans="1:2" x14ac:dyDescent="0.25">
      <c r="A131">
        <v>130</v>
      </c>
      <c r="B131" t="str">
        <f>IFERROR(INDEX(tb_baza[[Гос. номер]:[График работ]],MATCH(Скрыто!A131,tb_zakazchik[Столбец2],0),1),"")</f>
        <v/>
      </c>
    </row>
    <row r="132" spans="1:2" x14ac:dyDescent="0.25">
      <c r="A132">
        <v>131</v>
      </c>
      <c r="B132" t="str">
        <f>IFERROR(INDEX(tb_baza[[Гос. номер]:[График работ]],MATCH(Скрыто!A132,tb_zakazchik[Столбец2],0),1),"")</f>
        <v/>
      </c>
    </row>
    <row r="133" spans="1:2" x14ac:dyDescent="0.25">
      <c r="A133">
        <v>132</v>
      </c>
      <c r="B133" t="str">
        <f>IFERROR(INDEX(tb_baza[[Гос. номер]:[График работ]],MATCH(Скрыто!A133,tb_zakazchik[Столбец2],0),1),"")</f>
        <v/>
      </c>
    </row>
    <row r="134" spans="1:2" x14ac:dyDescent="0.25">
      <c r="A134">
        <v>133</v>
      </c>
      <c r="B134" t="str">
        <f>IFERROR(INDEX(tb_baza[[Гос. номер]:[График работ]],MATCH(Скрыто!A134,tb_zakazchik[Столбец2],0),1),"")</f>
        <v/>
      </c>
    </row>
    <row r="135" spans="1:2" x14ac:dyDescent="0.25">
      <c r="A135">
        <v>134</v>
      </c>
      <c r="B135" t="str">
        <f>IFERROR(INDEX(tb_baza[[Гос. номер]:[График работ]],MATCH(Скрыто!A135,tb_zakazchik[Столбец2],0),1),"")</f>
        <v/>
      </c>
    </row>
    <row r="136" spans="1:2" x14ac:dyDescent="0.25">
      <c r="A136">
        <v>135</v>
      </c>
      <c r="B136" t="str">
        <f>IFERROR(INDEX(tb_baza[[Гос. номер]:[График работ]],MATCH(Скрыто!A136,tb_zakazchik[Столбец2],0),1),"")</f>
        <v/>
      </c>
    </row>
    <row r="137" spans="1:2" x14ac:dyDescent="0.25">
      <c r="A137">
        <v>136</v>
      </c>
      <c r="B137" t="str">
        <f>IFERROR(INDEX(tb_baza[[Гос. номер]:[График работ]],MATCH(Скрыто!A137,tb_zakazchik[Столбец2],0),1),"")</f>
        <v/>
      </c>
    </row>
    <row r="138" spans="1:2" x14ac:dyDescent="0.25">
      <c r="A138">
        <v>137</v>
      </c>
      <c r="B138" t="str">
        <f>IFERROR(INDEX(tb_baza[[Гос. номер]:[График работ]],MATCH(Скрыто!A138,tb_zakazchik[Столбец2],0),1),"")</f>
        <v/>
      </c>
    </row>
    <row r="139" spans="1:2" x14ac:dyDescent="0.25">
      <c r="A139">
        <v>138</v>
      </c>
      <c r="B139" t="str">
        <f>IFERROR(INDEX(tb_baza[[Гос. номер]:[График работ]],MATCH(Скрыто!A139,tb_zakazchik[Столбец2],0),1),"")</f>
        <v/>
      </c>
    </row>
    <row r="140" spans="1:2" x14ac:dyDescent="0.25">
      <c r="A140">
        <v>139</v>
      </c>
      <c r="B140" t="str">
        <f>IFERROR(INDEX(tb_baza[[Гос. номер]:[График работ]],MATCH(Скрыто!A140,tb_zakazchik[Столбец2],0),1),"")</f>
        <v/>
      </c>
    </row>
    <row r="141" spans="1:2" x14ac:dyDescent="0.25">
      <c r="A141">
        <v>140</v>
      </c>
      <c r="B141" t="str">
        <f>IFERROR(INDEX(tb_baza[[Гос. номер]:[График работ]],MATCH(Скрыто!A141,tb_zakazchik[Столбец2],0),1),"")</f>
        <v/>
      </c>
    </row>
    <row r="142" spans="1:2" x14ac:dyDescent="0.25">
      <c r="A142">
        <v>141</v>
      </c>
      <c r="B142" t="str">
        <f>IFERROR(INDEX(tb_baza[[Гос. номер]:[График работ]],MATCH(Скрыто!A142,tb_zakazchik[Столбец2],0),1),"")</f>
        <v/>
      </c>
    </row>
    <row r="143" spans="1:2" x14ac:dyDescent="0.25">
      <c r="A143">
        <v>142</v>
      </c>
      <c r="B143" t="str">
        <f>IFERROR(INDEX(tb_baza[[Гос. номер]:[График работ]],MATCH(Скрыто!A143,tb_zakazchik[Столбец2],0),1),"")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База данных</vt:lpstr>
      <vt:lpstr>30-12-1899</vt:lpstr>
      <vt:lpstr>Управление</vt:lpstr>
      <vt:lpstr>Лист3</vt:lpstr>
      <vt:lpstr>Скрыто</vt:lpstr>
      <vt:lpstr>'База данных'!Заголовки_для_печати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Циклаури Гванца Романовна</dc:creator>
  <cp:lastModifiedBy>Vladimir Nagaev</cp:lastModifiedBy>
  <dcterms:created xsi:type="dcterms:W3CDTF">2020-10-20T08:20:39Z</dcterms:created>
  <dcterms:modified xsi:type="dcterms:W3CDTF">2020-11-19T12:16:18Z</dcterms:modified>
</cp:coreProperties>
</file>